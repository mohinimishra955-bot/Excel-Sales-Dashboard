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435ccd3ed242a1f7/Documents/"/>
    </mc:Choice>
  </mc:AlternateContent>
  <xr:revisionPtr revIDLastSave="9" documentId="13_ncr:1_{62B997D9-DDD3-4D90-9208-8B4AEA99B0C7}" xr6:coauthVersionLast="47" xr6:coauthVersionMax="47" xr10:uidLastSave="{CDC2B663-89CD-42DE-A50F-D3C608C15F35}"/>
  <bookViews>
    <workbookView xWindow="-108" yWindow="-108" windowWidth="23256" windowHeight="12456" activeTab="2" xr2:uid="{F9558DE6-2A5C-4D92-BB47-23DEE2208D34}"/>
  </bookViews>
  <sheets>
    <sheet name="DATA" sheetId="1" r:id="rId1"/>
    <sheet name="PIVOT TABLE" sheetId="3" r:id="rId2"/>
    <sheet name="DASHBOARD" sheetId="4" r:id="rId3"/>
  </sheets>
  <definedNames>
    <definedName name="Slicer_CATEGORY">#N/A</definedName>
    <definedName name="Slicer_Months__ORDER_DATE">#N/A</definedName>
    <definedName name="Slicer_PRODUCT">#N/A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14c0aaf1-193a-467f-8e37-3aa7e4db73eb" name="DATA" connection="Query - 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9CE305-164B-40E4-9B28-56D600B1179F}" name="Query - DATA" description="Connection to the 'DATA' query in the workbook." type="100" refreshedVersion="8" minRefreshableVersion="5">
    <extLst>
      <ext xmlns:x15="http://schemas.microsoft.com/office/spreadsheetml/2010/11/main" uri="{DE250136-89BD-433C-8126-D09CA5730AF9}">
        <x15:connection id="fa9b8d0c-6127-4204-9ae5-798bdbf44a7f"/>
      </ext>
    </extLst>
  </connection>
  <connection id="2" xr16:uid="{B1E8F983-6D87-4F53-BC04-A33F17B010C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<sst xmlns="http://schemas.openxmlformats.org/spreadsheetml/2006/main" count="340" uniqueCount="34">
  <si>
    <t>ORDER DATE</t>
  </si>
  <si>
    <t>PRODUCT</t>
  </si>
  <si>
    <t>CATEGORY</t>
  </si>
  <si>
    <t>REGION</t>
  </si>
  <si>
    <t>SALES</t>
  </si>
  <si>
    <t>PROFIT</t>
  </si>
  <si>
    <t>Laptop</t>
  </si>
  <si>
    <t>Electronics</t>
  </si>
  <si>
    <t>North</t>
  </si>
  <si>
    <t>Headphones</t>
  </si>
  <si>
    <t>South</t>
  </si>
  <si>
    <t>Office Chair</t>
  </si>
  <si>
    <t>Furniture</t>
  </si>
  <si>
    <t>East</t>
  </si>
  <si>
    <t>Desk Lamp</t>
  </si>
  <si>
    <t>West</t>
  </si>
  <si>
    <t>Notebook</t>
  </si>
  <si>
    <t>Stationery</t>
  </si>
  <si>
    <t>Central</t>
  </si>
  <si>
    <t>Pen Set</t>
  </si>
  <si>
    <t>Backpack</t>
  </si>
  <si>
    <t>Accessories</t>
  </si>
  <si>
    <t>Water Bottle</t>
  </si>
  <si>
    <t>Smartphone</t>
  </si>
  <si>
    <t>Printer</t>
  </si>
  <si>
    <t>PIVOT TABLE</t>
  </si>
  <si>
    <t>Row Labels</t>
  </si>
  <si>
    <t>Grand Total</t>
  </si>
  <si>
    <t>Sum of SALES</t>
  </si>
  <si>
    <t>Sum of PROFIT</t>
  </si>
  <si>
    <t>Feb</t>
  </si>
  <si>
    <t>Mar</t>
  </si>
  <si>
    <t>Jan</t>
  </si>
  <si>
    <t>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</si>
</sst>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sz val="26"/>
      <color theme="1"/>
      <name val="Calibri"/>
      <family val="2"/>
      <scheme val="minor"/>
    </font>
    <font>
      <sz val="36"/>
      <color theme="1"/>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4" tint="0.79998168889431442"/>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21">
    <xf numFmtId="0" fontId="0" fillId="0" borderId="0" xfId="0"/>
    <xf numFmtId="1" fontId="0" fillId="0" borderId="0" xfId="0" applyNumberFormat="1"/>
    <xf numFmtId="0" fontId="0" fillId="0" borderId="2" xfId="0" applyBorder="1"/>
    <xf numFmtId="0" fontId="0" fillId="0" borderId="0" xfId="0" pivotButton="1"/>
    <xf numFmtId="0" fontId="0" fillId="0" borderId="0" xfId="0" applyAlignment="1">
      <alignment horizontal="left"/>
    </xf>
    <xf numFmtId="0" fontId="1" fillId="2" borderId="5" xfId="0" applyFont="1" applyFill="1" applyBorder="1"/>
    <xf numFmtId="0" fontId="1" fillId="2" borderId="4" xfId="0" applyFont="1" applyFill="1" applyBorder="1"/>
    <xf numFmtId="0" fontId="1" fillId="2" borderId="6" xfId="0" applyFont="1" applyFill="1" applyBorder="1"/>
    <xf numFmtId="14" fontId="0" fillId="3" borderId="5" xfId="0" applyNumberFormat="1" applyFill="1" applyBorder="1"/>
    <xf numFmtId="0" fontId="0" fillId="3" borderId="4" xfId="0" applyFill="1" applyBorder="1"/>
    <xf numFmtId="1" fontId="0" fillId="3" borderId="4" xfId="0" applyNumberFormat="1" applyFill="1" applyBorder="1"/>
    <xf numFmtId="1" fontId="0" fillId="3" borderId="6" xfId="0" applyNumberFormat="1" applyFill="1" applyBorder="1"/>
    <xf numFmtId="14" fontId="0" fillId="0" borderId="5" xfId="0" applyNumberFormat="1" applyBorder="1"/>
    <xf numFmtId="0" fontId="0" fillId="0" borderId="4" xfId="0" applyBorder="1"/>
    <xf numFmtId="1" fontId="0" fillId="0" borderId="4" xfId="0" applyNumberFormat="1" applyBorder="1"/>
    <xf numFmtId="1" fontId="0" fillId="0" borderId="6" xfId="0" applyNumberFormat="1" applyBorder="1"/>
    <xf numFmtId="14" fontId="0" fillId="0" borderId="1" xfId="0" applyNumberFormat="1" applyBorder="1"/>
    <xf numFmtId="1" fontId="0" fillId="0" borderId="2" xfId="0" applyNumberFormat="1" applyBorder="1"/>
    <xf numFmtId="1" fontId="0" fillId="0" borderId="3" xfId="0" applyNumberFormat="1" applyBorder="1"/>
    <xf numFmtId="0" fontId="2" fillId="5" borderId="0" xfId="0" applyFont="1" applyFill="1" applyAlignment="1">
      <alignment horizontal="right" vertical="center"/>
    </xf>
    <xf numFmtId="0" fontId="3" fillId="4"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3.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24" Type="http://schemas.openxmlformats.org/officeDocument/2006/relationships/customXml" Target="../customXml/item10.xml"/><Relationship Id="rId32" Type="http://schemas.microsoft.com/office/2006/relationships/vbaProject" Target="vbaProject.bin"/><Relationship Id="rId5" Type="http://schemas.microsoft.com/office/2007/relationships/slicerCache" Target="slicerCaches/slicerCache1.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17/10/relationships/person" Target="persons/perso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PRODUCT-WISE</a:t>
            </a:r>
          </a:p>
        </c:rich>
      </c:tx>
      <c:layout>
        <c:manualLayout>
          <c:xMode val="edge"/>
          <c:yMode val="edge"/>
          <c:x val="0.72116924900516455"/>
          <c:y val="3.60163312919218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46541359749386"/>
          <c:y val="0.15680336832895886"/>
          <c:w val="0.8569646939293879"/>
          <c:h val="0.50460411198600175"/>
        </c:manualLayout>
      </c:layout>
      <c:lineChart>
        <c:grouping val="standard"/>
        <c:varyColors val="0"/>
        <c:ser>
          <c:idx val="0"/>
          <c:order val="0"/>
          <c:tx>
            <c:strRef>
              <c:f>'PIVOT TABLE'!$B$20</c:f>
              <c:strCache>
                <c:ptCount val="1"/>
                <c:pt idx="0">
                  <c:v>Total</c:v>
                </c:pt>
              </c:strCache>
            </c:strRef>
          </c:tx>
          <c:spPr>
            <a:ln w="28575" cap="rnd">
              <a:solidFill>
                <a:schemeClr val="accent1"/>
              </a:solidFill>
              <a:round/>
            </a:ln>
            <a:effectLst/>
          </c:spPr>
          <c:marker>
            <c:symbol val="none"/>
          </c:marker>
          <c:cat>
            <c:strRef>
              <c:f>'PIVOT TABLE'!$A$21:$A$28</c:f>
              <c:strCache>
                <c:ptCount val="7"/>
                <c:pt idx="0">
                  <c:v>Backpack</c:v>
                </c:pt>
                <c:pt idx="1">
                  <c:v>Notebook</c:v>
                </c:pt>
                <c:pt idx="2">
                  <c:v>Office Chair</c:v>
                </c:pt>
                <c:pt idx="3">
                  <c:v>Pen Set</c:v>
                </c:pt>
                <c:pt idx="4">
                  <c:v>Printer</c:v>
                </c:pt>
                <c:pt idx="5">
                  <c:v>Smartphone</c:v>
                </c:pt>
                <c:pt idx="6">
                  <c:v>Water Bottle</c:v>
                </c:pt>
              </c:strCache>
            </c:strRef>
          </c:cat>
          <c:val>
            <c:numRef>
              <c:f>'PIVOT TABLE'!$B$21:$B$28</c:f>
              <c:numCache>
                <c:formatCode>0</c:formatCode>
                <c:ptCount val="7"/>
                <c:pt idx="0">
                  <c:v>94870</c:v>
                </c:pt>
                <c:pt idx="1">
                  <c:v>92130</c:v>
                </c:pt>
                <c:pt idx="2">
                  <c:v>89390</c:v>
                </c:pt>
                <c:pt idx="3">
                  <c:v>93500</c:v>
                </c:pt>
                <c:pt idx="4">
                  <c:v>98980</c:v>
                </c:pt>
                <c:pt idx="5">
                  <c:v>97610</c:v>
                </c:pt>
                <c:pt idx="6">
                  <c:v>96240</c:v>
                </c:pt>
              </c:numCache>
            </c:numRef>
          </c:val>
          <c:smooth val="0"/>
          <c:extLst>
            <c:ext xmlns:c16="http://schemas.microsoft.com/office/drawing/2014/chart" uri="{C3380CC4-5D6E-409C-BE32-E72D297353CC}">
              <c16:uniqueId val="{00000000-B1C9-459F-A752-5C6E9CB28895}"/>
            </c:ext>
          </c:extLst>
        </c:ser>
        <c:dLbls>
          <c:showLegendKey val="0"/>
          <c:showVal val="0"/>
          <c:showCatName val="0"/>
          <c:showSerName val="0"/>
          <c:showPercent val="0"/>
          <c:showBubbleSize val="0"/>
        </c:dLbls>
        <c:smooth val="0"/>
        <c:axId val="812879999"/>
        <c:axId val="812877119"/>
      </c:lineChart>
      <c:catAx>
        <c:axId val="812879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877119"/>
        <c:crosses val="autoZero"/>
        <c:auto val="1"/>
        <c:lblAlgn val="ctr"/>
        <c:lblOffset val="100"/>
        <c:noMultiLvlLbl val="0"/>
      </c:catAx>
      <c:valAx>
        <c:axId val="8128771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87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CATEGORY-WISE</a:t>
            </a:r>
          </a:p>
        </c:rich>
      </c:tx>
      <c:layout>
        <c:manualLayout>
          <c:xMode val="edge"/>
          <c:yMode val="edge"/>
          <c:x val="0.70581933508311456"/>
          <c:y val="3.138670166229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6"/>
          <c:y val="0.17573855351414405"/>
          <c:w val="0.85219685039370074"/>
          <c:h val="0.62529017206182558"/>
        </c:manualLayout>
      </c:layout>
      <c:barChart>
        <c:barDir val="col"/>
        <c:grouping val="clustered"/>
        <c:varyColors val="0"/>
        <c:ser>
          <c:idx val="0"/>
          <c:order val="0"/>
          <c:tx>
            <c:strRef>
              <c:f>'PIVOT TABLE'!$B$14</c:f>
              <c:strCache>
                <c:ptCount val="1"/>
                <c:pt idx="0">
                  <c:v>Total</c:v>
                </c:pt>
              </c:strCache>
            </c:strRef>
          </c:tx>
          <c:spPr>
            <a:solidFill>
              <a:schemeClr val="accent1"/>
            </a:solidFill>
            <a:ln>
              <a:noFill/>
            </a:ln>
            <a:effectLst/>
          </c:spPr>
          <c:invertIfNegative val="0"/>
          <c:cat>
            <c:strRef>
              <c:f>'PIVOT TABLE'!$A$15:$A$19</c:f>
              <c:strCache>
                <c:ptCount val="4"/>
                <c:pt idx="0">
                  <c:v>Accessories</c:v>
                </c:pt>
                <c:pt idx="1">
                  <c:v>Electronics</c:v>
                </c:pt>
                <c:pt idx="2">
                  <c:v>Furniture</c:v>
                </c:pt>
                <c:pt idx="3">
                  <c:v>Stationery</c:v>
                </c:pt>
              </c:strCache>
            </c:strRef>
          </c:cat>
          <c:val>
            <c:numRef>
              <c:f>'PIVOT TABLE'!$B$15:$B$19</c:f>
              <c:numCache>
                <c:formatCode>0</c:formatCode>
                <c:ptCount val="4"/>
                <c:pt idx="0">
                  <c:v>39138</c:v>
                </c:pt>
                <c:pt idx="1">
                  <c:v>41611</c:v>
                </c:pt>
                <c:pt idx="2">
                  <c:v>17192</c:v>
                </c:pt>
                <c:pt idx="3">
                  <c:v>35795</c:v>
                </c:pt>
              </c:numCache>
            </c:numRef>
          </c:val>
          <c:extLst>
            <c:ext xmlns:c16="http://schemas.microsoft.com/office/drawing/2014/chart" uri="{C3380CC4-5D6E-409C-BE32-E72D297353CC}">
              <c16:uniqueId val="{00000000-B3A5-495E-B794-B6B45A23F483}"/>
            </c:ext>
          </c:extLst>
        </c:ser>
        <c:dLbls>
          <c:showLegendKey val="0"/>
          <c:showVal val="0"/>
          <c:showCatName val="0"/>
          <c:showSerName val="0"/>
          <c:showPercent val="0"/>
          <c:showBubbleSize val="0"/>
        </c:dLbls>
        <c:gapWidth val="219"/>
        <c:overlap val="-27"/>
        <c:axId val="679635439"/>
        <c:axId val="679633519"/>
      </c:barChart>
      <c:catAx>
        <c:axId val="67963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633519"/>
        <c:crosses val="autoZero"/>
        <c:auto val="1"/>
        <c:lblAlgn val="ctr"/>
        <c:lblOffset val="100"/>
        <c:noMultiLvlLbl val="0"/>
      </c:catAx>
      <c:valAx>
        <c:axId val="6796335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635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t>
            </a:r>
            <a:r>
              <a:rPr lang="en-IN" baseline="0"/>
              <a:t>-WISE</a:t>
            </a:r>
          </a:p>
        </c:rich>
      </c:tx>
      <c:layout>
        <c:manualLayout>
          <c:xMode val="edge"/>
          <c:yMode val="edge"/>
          <c:x val="0.74102077865266835"/>
          <c:y val="4.0645960921551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6"/>
          <c:y val="0.14754410906969961"/>
          <c:w val="0.5983070866141732"/>
          <c:h val="0.6534846165062701"/>
        </c:manualLayout>
      </c:layout>
      <c:lineChart>
        <c:grouping val="stacked"/>
        <c:varyColors val="0"/>
        <c:ser>
          <c:idx val="0"/>
          <c:order val="0"/>
          <c:tx>
            <c:strRef>
              <c:f>'PIVOT TABLE'!$B$35</c:f>
              <c:strCache>
                <c:ptCount val="1"/>
                <c:pt idx="0">
                  <c:v>Sum of PROFIT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TABLE'!$A$36:$A$41</c:f>
              <c:strCache>
                <c:ptCount val="5"/>
                <c:pt idx="0">
                  <c:v>Central</c:v>
                </c:pt>
                <c:pt idx="1">
                  <c:v>East</c:v>
                </c:pt>
                <c:pt idx="2">
                  <c:v>North</c:v>
                </c:pt>
                <c:pt idx="3">
                  <c:v>South</c:v>
                </c:pt>
                <c:pt idx="4">
                  <c:v>West</c:v>
                </c:pt>
              </c:strCache>
            </c:strRef>
          </c:cat>
          <c:val>
            <c:numRef>
              <c:f>'PIVOT TABLE'!$B$36:$B$41</c:f>
              <c:numCache>
                <c:formatCode>0</c:formatCode>
                <c:ptCount val="5"/>
                <c:pt idx="0">
                  <c:v>37761</c:v>
                </c:pt>
                <c:pt idx="1">
                  <c:v>37306</c:v>
                </c:pt>
                <c:pt idx="2">
                  <c:v>18190</c:v>
                </c:pt>
                <c:pt idx="3">
                  <c:v>19024</c:v>
                </c:pt>
                <c:pt idx="4">
                  <c:v>21455</c:v>
                </c:pt>
              </c:numCache>
            </c:numRef>
          </c:val>
          <c:smooth val="0"/>
          <c:extLst>
            <c:ext xmlns:c16="http://schemas.microsoft.com/office/drawing/2014/chart" uri="{C3380CC4-5D6E-409C-BE32-E72D297353CC}">
              <c16:uniqueId val="{00000000-4C96-47FF-9E20-64766799E9AA}"/>
            </c:ext>
          </c:extLst>
        </c:ser>
        <c:ser>
          <c:idx val="1"/>
          <c:order val="1"/>
          <c:tx>
            <c:strRef>
              <c:f>'PIVOT TABLE'!$C$35</c:f>
              <c:strCache>
                <c:ptCount val="1"/>
                <c:pt idx="0">
                  <c:v>Sum of SALES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TABLE'!$A$36:$A$41</c:f>
              <c:strCache>
                <c:ptCount val="5"/>
                <c:pt idx="0">
                  <c:v>Central</c:v>
                </c:pt>
                <c:pt idx="1">
                  <c:v>East</c:v>
                </c:pt>
                <c:pt idx="2">
                  <c:v>North</c:v>
                </c:pt>
                <c:pt idx="3">
                  <c:v>South</c:v>
                </c:pt>
                <c:pt idx="4">
                  <c:v>West</c:v>
                </c:pt>
              </c:strCache>
            </c:strRef>
          </c:cat>
          <c:val>
            <c:numRef>
              <c:f>'PIVOT TABLE'!$C$36:$C$41</c:f>
              <c:numCache>
                <c:formatCode>0</c:formatCode>
                <c:ptCount val="5"/>
                <c:pt idx="0">
                  <c:v>191110</c:v>
                </c:pt>
                <c:pt idx="1">
                  <c:v>185630</c:v>
                </c:pt>
                <c:pt idx="2">
                  <c:v>93500</c:v>
                </c:pt>
                <c:pt idx="3">
                  <c:v>94870</c:v>
                </c:pt>
                <c:pt idx="4">
                  <c:v>97610</c:v>
                </c:pt>
              </c:numCache>
            </c:numRef>
          </c:val>
          <c:smooth val="0"/>
          <c:extLst>
            <c:ext xmlns:c16="http://schemas.microsoft.com/office/drawing/2014/chart" uri="{C3380CC4-5D6E-409C-BE32-E72D297353CC}">
              <c16:uniqueId val="{00000001-4C96-47FF-9E20-64766799E9AA}"/>
            </c:ext>
          </c:extLst>
        </c:ser>
        <c:dLbls>
          <c:showLegendKey val="0"/>
          <c:showVal val="0"/>
          <c:showCatName val="0"/>
          <c:showSerName val="0"/>
          <c:showPercent val="0"/>
          <c:showBubbleSize val="0"/>
        </c:dLbls>
        <c:marker val="1"/>
        <c:smooth val="0"/>
        <c:axId val="71950639"/>
        <c:axId val="818531727"/>
      </c:lineChart>
      <c:catAx>
        <c:axId val="71950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531727"/>
        <c:crosses val="autoZero"/>
        <c:auto val="1"/>
        <c:lblAlgn val="ctr"/>
        <c:lblOffset val="100"/>
        <c:noMultiLvlLbl val="0"/>
      </c:catAx>
      <c:valAx>
        <c:axId val="8185317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50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PROFIT&amp;SALES-PRODUCT</a:t>
            </a:r>
            <a:r>
              <a:rPr lang="en-IN" baseline="0"/>
              <a:t> WISE</a:t>
            </a:r>
            <a:endParaRPr lang="en-IN"/>
          </a:p>
        </c:rich>
      </c:tx>
      <c:layout>
        <c:manualLayout>
          <c:xMode val="edge"/>
          <c:yMode val="edge"/>
          <c:x val="0.45992925334882601"/>
          <c:y val="1.962039227855139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9262537237790331"/>
          <c:y val="0.18058874106253961"/>
          <c:w val="0.47254992851168331"/>
          <c:h val="0.74141454300970999"/>
        </c:manualLayout>
      </c:layout>
      <c:doughnutChart>
        <c:varyColors val="1"/>
        <c:ser>
          <c:idx val="0"/>
          <c:order val="0"/>
          <c:tx>
            <c:strRef>
              <c:f>'PIVOT TABLE'!$B$35</c:f>
              <c:strCache>
                <c:ptCount val="1"/>
                <c:pt idx="0">
                  <c:v>Sum of PROFIT</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A24-42EB-B617-906623B851C3}"/>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A24-42EB-B617-906623B851C3}"/>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A24-42EB-B617-906623B851C3}"/>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A24-42EB-B617-906623B851C3}"/>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A24-42EB-B617-906623B851C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TABLE'!$A$36:$A$41</c:f>
              <c:strCache>
                <c:ptCount val="5"/>
                <c:pt idx="0">
                  <c:v>Central</c:v>
                </c:pt>
                <c:pt idx="1">
                  <c:v>East</c:v>
                </c:pt>
                <c:pt idx="2">
                  <c:v>North</c:v>
                </c:pt>
                <c:pt idx="3">
                  <c:v>South</c:v>
                </c:pt>
                <c:pt idx="4">
                  <c:v>West</c:v>
                </c:pt>
              </c:strCache>
            </c:strRef>
          </c:cat>
          <c:val>
            <c:numRef>
              <c:f>'PIVOT TABLE'!$B$36:$B$41</c:f>
              <c:numCache>
                <c:formatCode>0</c:formatCode>
                <c:ptCount val="5"/>
                <c:pt idx="0">
                  <c:v>37761</c:v>
                </c:pt>
                <c:pt idx="1">
                  <c:v>37306</c:v>
                </c:pt>
                <c:pt idx="2">
                  <c:v>18190</c:v>
                </c:pt>
                <c:pt idx="3">
                  <c:v>19024</c:v>
                </c:pt>
                <c:pt idx="4">
                  <c:v>21455</c:v>
                </c:pt>
              </c:numCache>
            </c:numRef>
          </c:val>
          <c:extLst>
            <c:ext xmlns:c16="http://schemas.microsoft.com/office/drawing/2014/chart" uri="{C3380CC4-5D6E-409C-BE32-E72D297353CC}">
              <c16:uniqueId val="{00000000-D48A-4F14-860C-7AE5AF82C82A}"/>
            </c:ext>
          </c:extLst>
        </c:ser>
        <c:ser>
          <c:idx val="1"/>
          <c:order val="1"/>
          <c:tx>
            <c:strRef>
              <c:f>'PIVOT TABLE'!$C$35</c:f>
              <c:strCache>
                <c:ptCount val="1"/>
                <c:pt idx="0">
                  <c:v>Sum of SALES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A24-42EB-B617-906623B851C3}"/>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A24-42EB-B617-906623B851C3}"/>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CA24-42EB-B617-906623B851C3}"/>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CA24-42EB-B617-906623B851C3}"/>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CA24-42EB-B617-906623B851C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TABLE'!$A$36:$A$41</c:f>
              <c:strCache>
                <c:ptCount val="5"/>
                <c:pt idx="0">
                  <c:v>Central</c:v>
                </c:pt>
                <c:pt idx="1">
                  <c:v>East</c:v>
                </c:pt>
                <c:pt idx="2">
                  <c:v>North</c:v>
                </c:pt>
                <c:pt idx="3">
                  <c:v>South</c:v>
                </c:pt>
                <c:pt idx="4">
                  <c:v>West</c:v>
                </c:pt>
              </c:strCache>
            </c:strRef>
          </c:cat>
          <c:val>
            <c:numRef>
              <c:f>'PIVOT TABLE'!$C$36:$C$41</c:f>
              <c:numCache>
                <c:formatCode>0</c:formatCode>
                <c:ptCount val="5"/>
                <c:pt idx="0">
                  <c:v>191110</c:v>
                </c:pt>
                <c:pt idx="1">
                  <c:v>185630</c:v>
                </c:pt>
                <c:pt idx="2">
                  <c:v>93500</c:v>
                </c:pt>
                <c:pt idx="3">
                  <c:v>94870</c:v>
                </c:pt>
                <c:pt idx="4">
                  <c:v>97610</c:v>
                </c:pt>
              </c:numCache>
            </c:numRef>
          </c:val>
          <c:extLst>
            <c:ext xmlns:c16="http://schemas.microsoft.com/office/drawing/2014/chart" uri="{C3380CC4-5D6E-409C-BE32-E72D297353CC}">
              <c16:uniqueId val="{00000001-D48A-4F14-860C-7AE5AF82C82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98561290949742"/>
          <c:y val="0.12306837161883687"/>
          <c:w val="0.48560279965004377"/>
          <c:h val="0.71716394438298514"/>
        </c:manualLayout>
      </c:layout>
      <c:barChart>
        <c:barDir val="bar"/>
        <c:grouping val="clustered"/>
        <c:varyColors val="0"/>
        <c:ser>
          <c:idx val="0"/>
          <c:order val="0"/>
          <c:tx>
            <c:strRef>
              <c:f>'PIVOT TABLE'!$B$29</c:f>
              <c:strCache>
                <c:ptCount val="1"/>
                <c:pt idx="0">
                  <c:v>Total</c:v>
                </c:pt>
              </c:strCache>
            </c:strRef>
          </c:tx>
          <c:spPr>
            <a:solidFill>
              <a:schemeClr val="accent1"/>
            </a:solidFill>
            <a:ln>
              <a:noFill/>
            </a:ln>
            <a:effectLst/>
          </c:spPr>
          <c:invertIfNegative val="0"/>
          <c:cat>
            <c:strRef>
              <c:f>'PIVOT TABLE'!$A$30:$A$34</c:f>
              <c:strCache>
                <c:ptCount val="4"/>
                <c:pt idx="0">
                  <c:v>Jan</c:v>
                </c:pt>
                <c:pt idx="1">
                  <c:v>Feb</c:v>
                </c:pt>
                <c:pt idx="2">
                  <c:v>Mar</c:v>
                </c:pt>
                <c:pt idx="3">
                  <c:v>Apr</c:v>
                </c:pt>
              </c:strCache>
            </c:strRef>
          </c:cat>
          <c:val>
            <c:numRef>
              <c:f>'PIVOT TABLE'!$B$30:$B$34</c:f>
              <c:numCache>
                <c:formatCode>0</c:formatCode>
                <c:ptCount val="4"/>
                <c:pt idx="0">
                  <c:v>95347</c:v>
                </c:pt>
                <c:pt idx="1">
                  <c:v>173848</c:v>
                </c:pt>
                <c:pt idx="2">
                  <c:v>281324</c:v>
                </c:pt>
                <c:pt idx="3">
                  <c:v>109427</c:v>
                </c:pt>
              </c:numCache>
            </c:numRef>
          </c:val>
          <c:extLst>
            <c:ext xmlns:c16="http://schemas.microsoft.com/office/drawing/2014/chart" uri="{C3380CC4-5D6E-409C-BE32-E72D297353CC}">
              <c16:uniqueId val="{00000000-9568-44EF-A1B6-88098BEFA5D3}"/>
            </c:ext>
          </c:extLst>
        </c:ser>
        <c:dLbls>
          <c:showLegendKey val="0"/>
          <c:showVal val="0"/>
          <c:showCatName val="0"/>
          <c:showSerName val="0"/>
          <c:showPercent val="0"/>
          <c:showBubbleSize val="0"/>
        </c:dLbls>
        <c:gapWidth val="182"/>
        <c:axId val="121487152"/>
        <c:axId val="121484752"/>
      </c:barChart>
      <c:catAx>
        <c:axId val="121487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84752"/>
        <c:crosses val="autoZero"/>
        <c:auto val="1"/>
        <c:lblAlgn val="ctr"/>
        <c:lblOffset val="100"/>
        <c:noMultiLvlLbl val="0"/>
      </c:catAx>
      <c:valAx>
        <c:axId val="1214847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8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TABLE'!$B$29</c:f>
              <c:strCache>
                <c:ptCount val="1"/>
                <c:pt idx="0">
                  <c:v>Total</c:v>
                </c:pt>
              </c:strCache>
            </c:strRef>
          </c:tx>
          <c:spPr>
            <a:solidFill>
              <a:schemeClr val="accent1"/>
            </a:solidFill>
            <a:ln>
              <a:noFill/>
            </a:ln>
            <a:effectLst/>
          </c:spPr>
          <c:invertIfNegative val="0"/>
          <c:cat>
            <c:strRef>
              <c:f>'PIVOT TABLE'!$A$30:$A$34</c:f>
              <c:strCache>
                <c:ptCount val="4"/>
                <c:pt idx="0">
                  <c:v>Jan</c:v>
                </c:pt>
                <c:pt idx="1">
                  <c:v>Feb</c:v>
                </c:pt>
                <c:pt idx="2">
                  <c:v>Mar</c:v>
                </c:pt>
                <c:pt idx="3">
                  <c:v>Apr</c:v>
                </c:pt>
              </c:strCache>
            </c:strRef>
          </c:cat>
          <c:val>
            <c:numRef>
              <c:f>'PIVOT TABLE'!$B$30:$B$34</c:f>
              <c:numCache>
                <c:formatCode>0</c:formatCode>
                <c:ptCount val="4"/>
                <c:pt idx="0">
                  <c:v>95347</c:v>
                </c:pt>
                <c:pt idx="1">
                  <c:v>173848</c:v>
                </c:pt>
                <c:pt idx="2">
                  <c:v>281324</c:v>
                </c:pt>
                <c:pt idx="3">
                  <c:v>109427</c:v>
                </c:pt>
              </c:numCache>
            </c:numRef>
          </c:val>
          <c:extLst>
            <c:ext xmlns:c16="http://schemas.microsoft.com/office/drawing/2014/chart" uri="{C3380CC4-5D6E-409C-BE32-E72D297353CC}">
              <c16:uniqueId val="{00000000-0C4E-4206-AD3E-9885554F96BE}"/>
            </c:ext>
          </c:extLst>
        </c:ser>
        <c:dLbls>
          <c:showLegendKey val="0"/>
          <c:showVal val="0"/>
          <c:showCatName val="0"/>
          <c:showSerName val="0"/>
          <c:showPercent val="0"/>
          <c:showBubbleSize val="0"/>
        </c:dLbls>
        <c:gapWidth val="182"/>
        <c:axId val="121487152"/>
        <c:axId val="121484752"/>
      </c:barChart>
      <c:catAx>
        <c:axId val="121487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84752"/>
        <c:crosses val="autoZero"/>
        <c:auto val="1"/>
        <c:lblAlgn val="ctr"/>
        <c:lblOffset val="100"/>
        <c:noMultiLvlLbl val="0"/>
      </c:catAx>
      <c:valAx>
        <c:axId val="1214847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8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PRODUCT-WISE</a:t>
            </a:r>
          </a:p>
        </c:rich>
      </c:tx>
      <c:layout>
        <c:manualLayout>
          <c:xMode val="edge"/>
          <c:yMode val="edge"/>
          <c:x val="0.72116924900516455"/>
          <c:y val="3.60163312919218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73136710991694"/>
          <c:y val="0.17516901296428852"/>
          <c:w val="0.8569646939293879"/>
          <c:h val="0.5688831767929835"/>
        </c:manualLayout>
      </c:layout>
      <c:lineChart>
        <c:grouping val="standard"/>
        <c:varyColors val="0"/>
        <c:ser>
          <c:idx val="0"/>
          <c:order val="0"/>
          <c:tx>
            <c:strRef>
              <c:f>'PIVOT TABLE'!$B$20</c:f>
              <c:strCache>
                <c:ptCount val="1"/>
                <c:pt idx="0">
                  <c:v>Total</c:v>
                </c:pt>
              </c:strCache>
            </c:strRef>
          </c:tx>
          <c:spPr>
            <a:ln w="28575" cap="rnd">
              <a:solidFill>
                <a:schemeClr val="accent1"/>
              </a:solidFill>
              <a:round/>
            </a:ln>
            <a:effectLst/>
          </c:spPr>
          <c:marker>
            <c:symbol val="none"/>
          </c:marker>
          <c:cat>
            <c:strRef>
              <c:f>'PIVOT TABLE'!$A$21:$A$28</c:f>
              <c:strCache>
                <c:ptCount val="7"/>
                <c:pt idx="0">
                  <c:v>Backpack</c:v>
                </c:pt>
                <c:pt idx="1">
                  <c:v>Notebook</c:v>
                </c:pt>
                <c:pt idx="2">
                  <c:v>Office Chair</c:v>
                </c:pt>
                <c:pt idx="3">
                  <c:v>Pen Set</c:v>
                </c:pt>
                <c:pt idx="4">
                  <c:v>Printer</c:v>
                </c:pt>
                <c:pt idx="5">
                  <c:v>Smartphone</c:v>
                </c:pt>
                <c:pt idx="6">
                  <c:v>Water Bottle</c:v>
                </c:pt>
              </c:strCache>
            </c:strRef>
          </c:cat>
          <c:val>
            <c:numRef>
              <c:f>'PIVOT TABLE'!$B$21:$B$28</c:f>
              <c:numCache>
                <c:formatCode>0</c:formatCode>
                <c:ptCount val="7"/>
                <c:pt idx="0">
                  <c:v>94870</c:v>
                </c:pt>
                <c:pt idx="1">
                  <c:v>92130</c:v>
                </c:pt>
                <c:pt idx="2">
                  <c:v>89390</c:v>
                </c:pt>
                <c:pt idx="3">
                  <c:v>93500</c:v>
                </c:pt>
                <c:pt idx="4">
                  <c:v>98980</c:v>
                </c:pt>
                <c:pt idx="5">
                  <c:v>97610</c:v>
                </c:pt>
                <c:pt idx="6">
                  <c:v>96240</c:v>
                </c:pt>
              </c:numCache>
            </c:numRef>
          </c:val>
          <c:smooth val="0"/>
          <c:extLst>
            <c:ext xmlns:c16="http://schemas.microsoft.com/office/drawing/2014/chart" uri="{C3380CC4-5D6E-409C-BE32-E72D297353CC}">
              <c16:uniqueId val="{00000000-0323-4AE0-8E6F-0188C12C3C62}"/>
            </c:ext>
          </c:extLst>
        </c:ser>
        <c:dLbls>
          <c:showLegendKey val="0"/>
          <c:showVal val="0"/>
          <c:showCatName val="0"/>
          <c:showSerName val="0"/>
          <c:showPercent val="0"/>
          <c:showBubbleSize val="0"/>
        </c:dLbls>
        <c:smooth val="0"/>
        <c:axId val="812879999"/>
        <c:axId val="812877119"/>
      </c:lineChart>
      <c:catAx>
        <c:axId val="812879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877119"/>
        <c:crosses val="autoZero"/>
        <c:auto val="1"/>
        <c:lblAlgn val="ctr"/>
        <c:lblOffset val="100"/>
        <c:noMultiLvlLbl val="0"/>
      </c:catAx>
      <c:valAx>
        <c:axId val="8128771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87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CATEGORY-WISE</a:t>
            </a:r>
          </a:p>
        </c:rich>
      </c:tx>
      <c:layout>
        <c:manualLayout>
          <c:xMode val="edge"/>
          <c:yMode val="edge"/>
          <c:x val="0.70581933508311456"/>
          <c:y val="3.138670166229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19847173056506"/>
          <c:y val="0.15823321764204804"/>
          <c:w val="0.85219685039370074"/>
          <c:h val="0.62529017206182558"/>
        </c:manualLayout>
      </c:layout>
      <c:barChart>
        <c:barDir val="col"/>
        <c:grouping val="clustered"/>
        <c:varyColors val="0"/>
        <c:ser>
          <c:idx val="0"/>
          <c:order val="0"/>
          <c:tx>
            <c:strRef>
              <c:f>'PIVOT TABLE'!$B$14</c:f>
              <c:strCache>
                <c:ptCount val="1"/>
                <c:pt idx="0">
                  <c:v>Total</c:v>
                </c:pt>
              </c:strCache>
            </c:strRef>
          </c:tx>
          <c:spPr>
            <a:solidFill>
              <a:schemeClr val="accent1"/>
            </a:solidFill>
            <a:ln>
              <a:noFill/>
            </a:ln>
            <a:effectLst/>
          </c:spPr>
          <c:invertIfNegative val="0"/>
          <c:cat>
            <c:strRef>
              <c:f>'PIVOT TABLE'!$A$15:$A$19</c:f>
              <c:strCache>
                <c:ptCount val="4"/>
                <c:pt idx="0">
                  <c:v>Accessories</c:v>
                </c:pt>
                <c:pt idx="1">
                  <c:v>Electronics</c:v>
                </c:pt>
                <c:pt idx="2">
                  <c:v>Furniture</c:v>
                </c:pt>
                <c:pt idx="3">
                  <c:v>Stationery</c:v>
                </c:pt>
              </c:strCache>
            </c:strRef>
          </c:cat>
          <c:val>
            <c:numRef>
              <c:f>'PIVOT TABLE'!$B$15:$B$19</c:f>
              <c:numCache>
                <c:formatCode>0</c:formatCode>
                <c:ptCount val="4"/>
                <c:pt idx="0">
                  <c:v>39138</c:v>
                </c:pt>
                <c:pt idx="1">
                  <c:v>41611</c:v>
                </c:pt>
                <c:pt idx="2">
                  <c:v>17192</c:v>
                </c:pt>
                <c:pt idx="3">
                  <c:v>35795</c:v>
                </c:pt>
              </c:numCache>
            </c:numRef>
          </c:val>
          <c:extLst>
            <c:ext xmlns:c16="http://schemas.microsoft.com/office/drawing/2014/chart" uri="{C3380CC4-5D6E-409C-BE32-E72D297353CC}">
              <c16:uniqueId val="{00000000-6B92-4517-B01F-2E83F32C953B}"/>
            </c:ext>
          </c:extLst>
        </c:ser>
        <c:dLbls>
          <c:showLegendKey val="0"/>
          <c:showVal val="0"/>
          <c:showCatName val="0"/>
          <c:showSerName val="0"/>
          <c:showPercent val="0"/>
          <c:showBubbleSize val="0"/>
        </c:dLbls>
        <c:gapWidth val="219"/>
        <c:overlap val="-27"/>
        <c:axId val="679635439"/>
        <c:axId val="679633519"/>
      </c:barChart>
      <c:catAx>
        <c:axId val="67963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633519"/>
        <c:crosses val="autoZero"/>
        <c:auto val="1"/>
        <c:lblAlgn val="ctr"/>
        <c:lblOffset val="100"/>
        <c:noMultiLvlLbl val="0"/>
      </c:catAx>
      <c:valAx>
        <c:axId val="6796335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635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PROFIT&amp;SALES-PRODUCT</a:t>
            </a:r>
            <a:r>
              <a:rPr lang="en-IN" baseline="0"/>
              <a:t> WISE</a:t>
            </a:r>
            <a:endParaRPr lang="en-IN"/>
          </a:p>
        </c:rich>
      </c:tx>
      <c:layout>
        <c:manualLayout>
          <c:xMode val="edge"/>
          <c:yMode val="edge"/>
          <c:x val="0.45992925334882601"/>
          <c:y val="1.962039227855139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9262537237790331"/>
          <c:y val="0.18058874106253961"/>
          <c:w val="0.47254992851168331"/>
          <c:h val="0.74141454300970999"/>
        </c:manualLayout>
      </c:layout>
      <c:doughnutChart>
        <c:varyColors val="1"/>
        <c:ser>
          <c:idx val="0"/>
          <c:order val="0"/>
          <c:tx>
            <c:strRef>
              <c:f>'PIVOT TABLE'!$B$35</c:f>
              <c:strCache>
                <c:ptCount val="1"/>
                <c:pt idx="0">
                  <c:v>Sum of PROFIT</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C40-4723-B04A-A5CAD723D87E}"/>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C40-4723-B04A-A5CAD723D87E}"/>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C40-4723-B04A-A5CAD723D87E}"/>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C40-4723-B04A-A5CAD723D87E}"/>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C40-4723-B04A-A5CAD723D8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TABLE'!$A$36:$A$41</c:f>
              <c:strCache>
                <c:ptCount val="5"/>
                <c:pt idx="0">
                  <c:v>Central</c:v>
                </c:pt>
                <c:pt idx="1">
                  <c:v>East</c:v>
                </c:pt>
                <c:pt idx="2">
                  <c:v>North</c:v>
                </c:pt>
                <c:pt idx="3">
                  <c:v>South</c:v>
                </c:pt>
                <c:pt idx="4">
                  <c:v>West</c:v>
                </c:pt>
              </c:strCache>
            </c:strRef>
          </c:cat>
          <c:val>
            <c:numRef>
              <c:f>'PIVOT TABLE'!$B$36:$B$41</c:f>
              <c:numCache>
                <c:formatCode>0</c:formatCode>
                <c:ptCount val="5"/>
                <c:pt idx="0">
                  <c:v>37761</c:v>
                </c:pt>
                <c:pt idx="1">
                  <c:v>37306</c:v>
                </c:pt>
                <c:pt idx="2">
                  <c:v>18190</c:v>
                </c:pt>
                <c:pt idx="3">
                  <c:v>19024</c:v>
                </c:pt>
                <c:pt idx="4">
                  <c:v>21455</c:v>
                </c:pt>
              </c:numCache>
            </c:numRef>
          </c:val>
          <c:extLst>
            <c:ext xmlns:c16="http://schemas.microsoft.com/office/drawing/2014/chart" uri="{C3380CC4-5D6E-409C-BE32-E72D297353CC}">
              <c16:uniqueId val="{0000000A-3C40-4723-B04A-A5CAD723D87E}"/>
            </c:ext>
          </c:extLst>
        </c:ser>
        <c:ser>
          <c:idx val="1"/>
          <c:order val="1"/>
          <c:tx>
            <c:strRef>
              <c:f>'PIVOT TABLE'!$C$35</c:f>
              <c:strCache>
                <c:ptCount val="1"/>
                <c:pt idx="0">
                  <c:v>Sum of SALES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3C40-4723-B04A-A5CAD723D87E}"/>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E-3C40-4723-B04A-A5CAD723D87E}"/>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0-3C40-4723-B04A-A5CAD723D87E}"/>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2-3C40-4723-B04A-A5CAD723D87E}"/>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4-3C40-4723-B04A-A5CAD723D8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TABLE'!$A$36:$A$41</c:f>
              <c:strCache>
                <c:ptCount val="5"/>
                <c:pt idx="0">
                  <c:v>Central</c:v>
                </c:pt>
                <c:pt idx="1">
                  <c:v>East</c:v>
                </c:pt>
                <c:pt idx="2">
                  <c:v>North</c:v>
                </c:pt>
                <c:pt idx="3">
                  <c:v>South</c:v>
                </c:pt>
                <c:pt idx="4">
                  <c:v>West</c:v>
                </c:pt>
              </c:strCache>
            </c:strRef>
          </c:cat>
          <c:val>
            <c:numRef>
              <c:f>'PIVOT TABLE'!$C$36:$C$41</c:f>
              <c:numCache>
                <c:formatCode>0</c:formatCode>
                <c:ptCount val="5"/>
                <c:pt idx="0">
                  <c:v>191110</c:v>
                </c:pt>
                <c:pt idx="1">
                  <c:v>185630</c:v>
                </c:pt>
                <c:pt idx="2">
                  <c:v>93500</c:v>
                </c:pt>
                <c:pt idx="3">
                  <c:v>94870</c:v>
                </c:pt>
                <c:pt idx="4">
                  <c:v>97610</c:v>
                </c:pt>
              </c:numCache>
            </c:numRef>
          </c:val>
          <c:extLst>
            <c:ext xmlns:c16="http://schemas.microsoft.com/office/drawing/2014/chart" uri="{C3380CC4-5D6E-409C-BE32-E72D297353CC}">
              <c16:uniqueId val="{00000015-3C40-4723-B04A-A5CAD723D87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t>
            </a:r>
            <a:r>
              <a:rPr lang="en-IN" baseline="0"/>
              <a:t>-WISE</a:t>
            </a:r>
          </a:p>
        </c:rich>
      </c:tx>
      <c:layout>
        <c:manualLayout>
          <c:xMode val="edge"/>
          <c:yMode val="edge"/>
          <c:x val="0.80675452305103079"/>
          <c:y val="0.2994695074880346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6"/>
          <c:y val="0.14754410906969961"/>
          <c:w val="0.6661612670553585"/>
          <c:h val="0.6534846165062701"/>
        </c:manualLayout>
      </c:layout>
      <c:lineChart>
        <c:grouping val="stacked"/>
        <c:varyColors val="0"/>
        <c:ser>
          <c:idx val="0"/>
          <c:order val="0"/>
          <c:tx>
            <c:strRef>
              <c:f>'PIVOT TABLE'!$B$35</c:f>
              <c:strCache>
                <c:ptCount val="1"/>
                <c:pt idx="0">
                  <c:v>Sum of PROFIT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TABLE'!$A$36:$A$41</c:f>
              <c:strCache>
                <c:ptCount val="5"/>
                <c:pt idx="0">
                  <c:v>Central</c:v>
                </c:pt>
                <c:pt idx="1">
                  <c:v>East</c:v>
                </c:pt>
                <c:pt idx="2">
                  <c:v>North</c:v>
                </c:pt>
                <c:pt idx="3">
                  <c:v>South</c:v>
                </c:pt>
                <c:pt idx="4">
                  <c:v>West</c:v>
                </c:pt>
              </c:strCache>
            </c:strRef>
          </c:cat>
          <c:val>
            <c:numRef>
              <c:f>'PIVOT TABLE'!$B$36:$B$41</c:f>
              <c:numCache>
                <c:formatCode>0</c:formatCode>
                <c:ptCount val="5"/>
                <c:pt idx="0">
                  <c:v>37761</c:v>
                </c:pt>
                <c:pt idx="1">
                  <c:v>37306</c:v>
                </c:pt>
                <c:pt idx="2">
                  <c:v>18190</c:v>
                </c:pt>
                <c:pt idx="3">
                  <c:v>19024</c:v>
                </c:pt>
                <c:pt idx="4">
                  <c:v>21455</c:v>
                </c:pt>
              </c:numCache>
            </c:numRef>
          </c:val>
          <c:smooth val="0"/>
          <c:extLst>
            <c:ext xmlns:c16="http://schemas.microsoft.com/office/drawing/2014/chart" uri="{C3380CC4-5D6E-409C-BE32-E72D297353CC}">
              <c16:uniqueId val="{00000000-C612-4D21-9DAA-33B18EB2344D}"/>
            </c:ext>
          </c:extLst>
        </c:ser>
        <c:ser>
          <c:idx val="1"/>
          <c:order val="1"/>
          <c:tx>
            <c:strRef>
              <c:f>'PIVOT TABLE'!$C$35</c:f>
              <c:strCache>
                <c:ptCount val="1"/>
                <c:pt idx="0">
                  <c:v>Sum of SALES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TABLE'!$A$36:$A$41</c:f>
              <c:strCache>
                <c:ptCount val="5"/>
                <c:pt idx="0">
                  <c:v>Central</c:v>
                </c:pt>
                <c:pt idx="1">
                  <c:v>East</c:v>
                </c:pt>
                <c:pt idx="2">
                  <c:v>North</c:v>
                </c:pt>
                <c:pt idx="3">
                  <c:v>South</c:v>
                </c:pt>
                <c:pt idx="4">
                  <c:v>West</c:v>
                </c:pt>
              </c:strCache>
            </c:strRef>
          </c:cat>
          <c:val>
            <c:numRef>
              <c:f>'PIVOT TABLE'!$C$36:$C$41</c:f>
              <c:numCache>
                <c:formatCode>0</c:formatCode>
                <c:ptCount val="5"/>
                <c:pt idx="0">
                  <c:v>191110</c:v>
                </c:pt>
                <c:pt idx="1">
                  <c:v>185630</c:v>
                </c:pt>
                <c:pt idx="2">
                  <c:v>93500</c:v>
                </c:pt>
                <c:pt idx="3">
                  <c:v>94870</c:v>
                </c:pt>
                <c:pt idx="4">
                  <c:v>97610</c:v>
                </c:pt>
              </c:numCache>
            </c:numRef>
          </c:val>
          <c:smooth val="0"/>
          <c:extLst>
            <c:ext xmlns:c16="http://schemas.microsoft.com/office/drawing/2014/chart" uri="{C3380CC4-5D6E-409C-BE32-E72D297353CC}">
              <c16:uniqueId val="{00000001-C612-4D21-9DAA-33B18EB2344D}"/>
            </c:ext>
          </c:extLst>
        </c:ser>
        <c:dLbls>
          <c:showLegendKey val="0"/>
          <c:showVal val="0"/>
          <c:showCatName val="0"/>
          <c:showSerName val="0"/>
          <c:showPercent val="0"/>
          <c:showBubbleSize val="0"/>
        </c:dLbls>
        <c:marker val="1"/>
        <c:smooth val="0"/>
        <c:axId val="71950639"/>
        <c:axId val="818531727"/>
      </c:lineChart>
      <c:catAx>
        <c:axId val="71950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531727"/>
        <c:crosses val="autoZero"/>
        <c:auto val="1"/>
        <c:lblAlgn val="ctr"/>
        <c:lblOffset val="100"/>
        <c:noMultiLvlLbl val="0"/>
      </c:catAx>
      <c:valAx>
        <c:axId val="8185317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50639"/>
        <c:crosses val="autoZero"/>
        <c:crossBetween val="between"/>
      </c:valAx>
      <c:spPr>
        <a:noFill/>
        <a:ln>
          <a:noFill/>
        </a:ln>
        <a:effectLst/>
      </c:spPr>
    </c:plotArea>
    <c:legend>
      <c:legendPos val="r"/>
      <c:layout>
        <c:manualLayout>
          <c:xMode val="edge"/>
          <c:yMode val="edge"/>
          <c:x val="0.80195013791215031"/>
          <c:y val="0.80551026709896556"/>
          <c:w val="0.19592942103611094"/>
          <c:h val="0.189332406978539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image" Target="../media/image2.emf"/><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emf"/><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8</xdr:col>
      <xdr:colOff>784860</xdr:colOff>
      <xdr:row>29</xdr:row>
      <xdr:rowOff>129540</xdr:rowOff>
    </xdr:from>
    <xdr:to>
      <xdr:col>17</xdr:col>
      <xdr:colOff>213360</xdr:colOff>
      <xdr:row>43</xdr:row>
      <xdr:rowOff>121920</xdr:rowOff>
    </xdr:to>
    <xdr:graphicFrame macro="">
      <xdr:nvGraphicFramePr>
        <xdr:cNvPr id="2" name="Chart 1">
          <a:extLst>
            <a:ext uri="{FF2B5EF4-FFF2-40B4-BE49-F238E27FC236}">
              <a16:creationId xmlns:a16="http://schemas.microsoft.com/office/drawing/2014/main" id="{C76CA4F6-F262-D9DF-CCCA-853D99D2A4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22860</xdr:colOff>
      <xdr:row>12</xdr:row>
      <xdr:rowOff>175260</xdr:rowOff>
    </xdr:from>
    <xdr:to>
      <xdr:col>7</xdr:col>
      <xdr:colOff>320040</xdr:colOff>
      <xdr:row>27</xdr:row>
      <xdr:rowOff>175260</xdr:rowOff>
    </xdr:to>
    <xdr:graphicFrame macro="">
      <xdr:nvGraphicFramePr>
        <xdr:cNvPr id="3" name="Chart 2">
          <a:extLst>
            <a:ext uri="{FF2B5EF4-FFF2-40B4-BE49-F238E27FC236}">
              <a16:creationId xmlns:a16="http://schemas.microsoft.com/office/drawing/2014/main" id="{A1F3556F-401C-188E-4119-30CD09C060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601980</xdr:colOff>
      <xdr:row>17</xdr:row>
      <xdr:rowOff>15240</xdr:rowOff>
    </xdr:from>
    <xdr:to>
      <xdr:col>24</xdr:col>
      <xdr:colOff>586740</xdr:colOff>
      <xdr:row>32</xdr:row>
      <xdr:rowOff>15240</xdr:rowOff>
    </xdr:to>
    <xdr:graphicFrame macro="">
      <xdr:nvGraphicFramePr>
        <xdr:cNvPr id="4" name="Chart 3">
          <a:extLst>
            <a:ext uri="{FF2B5EF4-FFF2-40B4-BE49-F238E27FC236}">
              <a16:creationId xmlns:a16="http://schemas.microsoft.com/office/drawing/2014/main" id="{FD48E801-4683-314D-4E47-CC0FF5E20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7620</xdr:colOff>
      <xdr:row>0</xdr:row>
      <xdr:rowOff>0</xdr:rowOff>
    </xdr:from>
    <xdr:to>
      <xdr:col>9</xdr:col>
      <xdr:colOff>586740</xdr:colOff>
      <xdr:row>12</xdr:row>
      <xdr:rowOff>175260</xdr:rowOff>
    </xdr:to>
    <xdr:sp macro="" textlink="">
      <xdr:nvSpPr>
        <xdr:cNvPr id="7" name="Rectangle 6">
          <a:extLst>
            <a:ext uri="{FF2B5EF4-FFF2-40B4-BE49-F238E27FC236}">
              <a16:creationId xmlns:a16="http://schemas.microsoft.com/office/drawing/2014/main" id="{48AFB117-1423-C9A1-FD5D-EE59446AAA22}"/>
            </a:ext>
          </a:extLst>
        </xdr:cNvPr>
        <xdr:cNvSpPr/>
      </xdr:nvSpPr>
      <xdr:spPr>
        <a:xfrm>
          <a:off x="3200400" y="0"/>
          <a:ext cx="5814060" cy="23698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0</xdr:colOff>
      <xdr:row>0</xdr:row>
      <xdr:rowOff>1</xdr:rowOff>
    </xdr:from>
    <xdr:to>
      <xdr:col>5</xdr:col>
      <xdr:colOff>365760</xdr:colOff>
      <xdr:row>13</xdr:row>
      <xdr:rowOff>15240</xdr:rowOff>
    </xdr:to>
    <mc:AlternateContent xmlns:mc="http://schemas.openxmlformats.org/markup-compatibility/2006" xmlns:a14="http://schemas.microsoft.com/office/drawing/2010/main">
      <mc:Choice Requires="a14">
        <xdr:graphicFrame macro="">
          <xdr:nvGraphicFramePr>
            <xdr:cNvPr id="8" name="PRODUCT">
              <a:extLst>
                <a:ext uri="{FF2B5EF4-FFF2-40B4-BE49-F238E27FC236}">
                  <a16:creationId xmlns:a16="http://schemas.microsoft.com/office/drawing/2014/main" id="{8B8C4F1E-9533-F1D1-74FF-A47E84A88BB2}"/>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3101340" y="1"/>
              <a:ext cx="2087880" cy="2011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312420</xdr:colOff>
      <xdr:row>0</xdr:row>
      <xdr:rowOff>0</xdr:rowOff>
    </xdr:from>
    <xdr:to>
      <xdr:col>7</xdr:col>
      <xdr:colOff>419100</xdr:colOff>
      <xdr:row>13</xdr:row>
      <xdr:rowOff>15240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C1CFF016-700C-68EE-03AD-5DEA82EE382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227320" y="0"/>
              <a:ext cx="1828800" cy="2392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403860</xdr:colOff>
      <xdr:row>0</xdr:row>
      <xdr:rowOff>1</xdr:rowOff>
    </xdr:from>
    <xdr:to>
      <xdr:col>9</xdr:col>
      <xdr:colOff>594360</xdr:colOff>
      <xdr:row>13</xdr:row>
      <xdr:rowOff>22860</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C77035CD-E769-5C04-7AC6-97284CB25B6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949440" y="1"/>
              <a:ext cx="1981200" cy="2011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289560</xdr:colOff>
      <xdr:row>13</xdr:row>
      <xdr:rowOff>0</xdr:rowOff>
    </xdr:from>
    <xdr:to>
      <xdr:col>12</xdr:col>
      <xdr:colOff>632460</xdr:colOff>
      <xdr:row>29</xdr:row>
      <xdr:rowOff>167640</xdr:rowOff>
    </xdr:to>
    <xdr:graphicFrame macro="">
      <xdr:nvGraphicFramePr>
        <xdr:cNvPr id="12" name="Chart 11">
          <a:extLst>
            <a:ext uri="{FF2B5EF4-FFF2-40B4-BE49-F238E27FC236}">
              <a16:creationId xmlns:a16="http://schemas.microsoft.com/office/drawing/2014/main" id="{B05D2FDA-65A6-7757-087E-220C1ABA1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38100</xdr:colOff>
      <xdr:row>29</xdr:row>
      <xdr:rowOff>167640</xdr:rowOff>
    </xdr:from>
    <xdr:to>
      <xdr:col>8</xdr:col>
      <xdr:colOff>807720</xdr:colOff>
      <xdr:row>40</xdr:row>
      <xdr:rowOff>0</xdr:rowOff>
    </xdr:to>
    <xdr:graphicFrame macro="">
      <xdr:nvGraphicFramePr>
        <xdr:cNvPr id="13" name="Chart 12">
          <a:extLst>
            <a:ext uri="{FF2B5EF4-FFF2-40B4-BE49-F238E27FC236}">
              <a16:creationId xmlns:a16="http://schemas.microsoft.com/office/drawing/2014/main" id="{6323AD7D-FEC7-5D4C-B8F4-6E5797F43E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7620</xdr:colOff>
      <xdr:row>4</xdr:row>
      <xdr:rowOff>22860</xdr:rowOff>
    </xdr:from>
    <xdr:to>
      <xdr:col>3</xdr:col>
      <xdr:colOff>472440</xdr:colOff>
      <xdr:row>12</xdr:row>
      <xdr:rowOff>182879</xdr:rowOff>
    </xdr:to>
    <mc:AlternateContent xmlns:mc="http://schemas.openxmlformats.org/markup-compatibility/2006" xmlns:a14="http://schemas.microsoft.com/office/drawing/2010/main">
      <mc:Choice Requires="a14">
        <xdr:graphicFrame macro="">
          <xdr:nvGraphicFramePr>
            <xdr:cNvPr id="14" name="Months (ORDER DATE)">
              <a:extLst>
                <a:ext uri="{FF2B5EF4-FFF2-40B4-BE49-F238E27FC236}">
                  <a16:creationId xmlns:a16="http://schemas.microsoft.com/office/drawing/2014/main" id="{B8B1EE87-E1F8-BB25-96D5-2EA97C41974F}"/>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7620" y="754380"/>
              <a:ext cx="3116580" cy="16230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594360</xdr:colOff>
      <xdr:row>0</xdr:row>
      <xdr:rowOff>0</xdr:rowOff>
    </xdr:from>
    <xdr:to>
      <xdr:col>13</xdr:col>
      <xdr:colOff>22860</xdr:colOff>
      <xdr:row>8</xdr:row>
      <xdr:rowOff>0</xdr:rowOff>
    </xdr:to>
    <xdr:graphicFrame macro="">
      <xdr:nvGraphicFramePr>
        <xdr:cNvPr id="25" name="Chart 24">
          <a:extLst>
            <a:ext uri="{FF2B5EF4-FFF2-40B4-BE49-F238E27FC236}">
              <a16:creationId xmlns:a16="http://schemas.microsoft.com/office/drawing/2014/main" id="{DA679B0A-FCC3-4309-BE5E-B37E454FD3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22860</xdr:colOff>
      <xdr:row>0</xdr:row>
      <xdr:rowOff>0</xdr:rowOff>
    </xdr:from>
    <xdr:to>
      <xdr:col>25</xdr:col>
      <xdr:colOff>605118</xdr:colOff>
      <xdr:row>7</xdr:row>
      <xdr:rowOff>175260</xdr:rowOff>
    </xdr:to>
    <xdr:sp macro="" textlink="">
      <xdr:nvSpPr>
        <xdr:cNvPr id="27" name="Rectangle: Single Corner Rounded 26">
          <a:extLst>
            <a:ext uri="{FF2B5EF4-FFF2-40B4-BE49-F238E27FC236}">
              <a16:creationId xmlns:a16="http://schemas.microsoft.com/office/drawing/2014/main" id="{B0019CFF-DF46-DAF4-C08C-3BBE8DBDD38F}"/>
            </a:ext>
          </a:extLst>
        </xdr:cNvPr>
        <xdr:cNvSpPr/>
      </xdr:nvSpPr>
      <xdr:spPr>
        <a:xfrm>
          <a:off x="7986507" y="0"/>
          <a:ext cx="8090199" cy="1430319"/>
        </a:xfrm>
        <a:prstGeom prst="round1Rect">
          <a:avLst/>
        </a:prstGeom>
        <a:effectLst>
          <a:glow rad="63500">
            <a:schemeClr val="accent3">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b"/>
        <a:lstStyle/>
        <a:p>
          <a:pPr algn="l"/>
          <a:r>
            <a:rPr lang="en-IN" sz="1400"/>
            <a:t>                         928125                                                                    186159                                                         100</a:t>
          </a:r>
        </a:p>
      </xdr:txBody>
    </xdr:sp>
    <xdr:clientData/>
  </xdr:twoCellAnchor>
  <xdr:twoCellAnchor>
    <xdr:from>
      <xdr:col>0</xdr:col>
      <xdr:colOff>0</xdr:colOff>
      <xdr:row>0</xdr:row>
      <xdr:rowOff>0</xdr:rowOff>
    </xdr:from>
    <xdr:to>
      <xdr:col>4</xdr:col>
      <xdr:colOff>594360</xdr:colOff>
      <xdr:row>5</xdr:row>
      <xdr:rowOff>7620</xdr:rowOff>
    </xdr:to>
    <xdr:sp macro="" textlink="">
      <xdr:nvSpPr>
        <xdr:cNvPr id="29" name="Rectangle 28">
          <a:extLst>
            <a:ext uri="{FF2B5EF4-FFF2-40B4-BE49-F238E27FC236}">
              <a16:creationId xmlns:a16="http://schemas.microsoft.com/office/drawing/2014/main" id="{6E57055F-B618-8F6C-B5E6-A59E4DCD1A5F}"/>
            </a:ext>
          </a:extLst>
        </xdr:cNvPr>
        <xdr:cNvSpPr/>
      </xdr:nvSpPr>
      <xdr:spPr>
        <a:xfrm>
          <a:off x="0" y="0"/>
          <a:ext cx="3032760" cy="922020"/>
        </a:xfrm>
        <a:prstGeom prst="rect">
          <a:avLst/>
        </a:prstGeom>
        <a:effectLst>
          <a:glow rad="63500">
            <a:schemeClr val="accent3">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r"/>
          <a:r>
            <a:rPr lang="en-IN" sz="2400" b="0" cap="none" spc="0">
              <a:ln w="0"/>
              <a:solidFill>
                <a:schemeClr val="accent1"/>
              </a:solidFill>
              <a:effectLst>
                <a:outerShdw blurRad="38100" dist="25400" dir="5400000" algn="ctr" rotWithShape="0">
                  <a:srgbClr val="6E747A">
                    <a:alpha val="43000"/>
                  </a:srgbClr>
                </a:outerShdw>
              </a:effectLst>
            </a:rPr>
            <a:t>SALES DASHBOARD</a:t>
          </a:r>
          <a:endParaRPr lang="en-IN" sz="24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83820</xdr:colOff>
      <xdr:row>1</xdr:row>
      <xdr:rowOff>22860</xdr:rowOff>
    </xdr:from>
    <xdr:to>
      <xdr:col>0</xdr:col>
      <xdr:colOff>457200</xdr:colOff>
      <xdr:row>3</xdr:row>
      <xdr:rowOff>106680</xdr:rowOff>
    </xdr:to>
    <xdr:sp macro="" textlink="">
      <xdr:nvSpPr>
        <xdr:cNvPr id="30" name="Arrow: Left-Right-Up 29">
          <a:extLst>
            <a:ext uri="{FF2B5EF4-FFF2-40B4-BE49-F238E27FC236}">
              <a16:creationId xmlns:a16="http://schemas.microsoft.com/office/drawing/2014/main" id="{A8CA70A5-7D1C-34D2-37E0-1699C94D7925}"/>
            </a:ext>
          </a:extLst>
        </xdr:cNvPr>
        <xdr:cNvSpPr/>
      </xdr:nvSpPr>
      <xdr:spPr>
        <a:xfrm>
          <a:off x="83820" y="205740"/>
          <a:ext cx="373380" cy="449580"/>
        </a:xfrm>
        <a:prstGeom prst="leftRightUpArrow">
          <a:avLst>
            <a:gd name="adj1" fmla="val 29592"/>
            <a:gd name="adj2" fmla="val 14796"/>
            <a:gd name="adj3" fmla="val 4744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335280</xdr:colOff>
      <xdr:row>3</xdr:row>
      <xdr:rowOff>121920</xdr:rowOff>
    </xdr:from>
    <xdr:to>
      <xdr:col>16</xdr:col>
      <xdr:colOff>548640</xdr:colOff>
      <xdr:row>6</xdr:row>
      <xdr:rowOff>38100</xdr:rowOff>
    </xdr:to>
    <xdr:sp macro="" textlink="">
      <xdr:nvSpPr>
        <xdr:cNvPr id="31" name="Rectangle: Beveled 30">
          <a:extLst>
            <a:ext uri="{FF2B5EF4-FFF2-40B4-BE49-F238E27FC236}">
              <a16:creationId xmlns:a16="http://schemas.microsoft.com/office/drawing/2014/main" id="{CF62ED91-C27A-36A1-050C-D2728CAAD9DD}"/>
            </a:ext>
          </a:extLst>
        </xdr:cNvPr>
        <xdr:cNvSpPr/>
      </xdr:nvSpPr>
      <xdr:spPr>
        <a:xfrm>
          <a:off x="8260080" y="670560"/>
          <a:ext cx="2042160" cy="464820"/>
        </a:xfrm>
        <a:prstGeom prst="bevel">
          <a:avLst/>
        </a:prstGeom>
        <a:solidFill>
          <a:srgbClr val="66FFFF"/>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400" b="1" cap="none" spc="0">
              <a:ln w="0"/>
              <a:solidFill>
                <a:schemeClr val="tx1"/>
              </a:solidFill>
              <a:effectLst>
                <a:outerShdw blurRad="38100" dist="19050" dir="2700000" algn="tl" rotWithShape="0">
                  <a:schemeClr val="dk1">
                    <a:alpha val="40000"/>
                  </a:schemeClr>
                </a:outerShdw>
              </a:effectLst>
            </a:rPr>
            <a:t>TOTAL SALES</a:t>
          </a:r>
        </a:p>
        <a:p>
          <a:pPr algn="ctr"/>
          <a:r>
            <a:rPr lang="en-IN" sz="2400" b="1" cap="none" spc="0">
              <a:ln w="0"/>
              <a:solidFill>
                <a:schemeClr val="tx1"/>
              </a:solidFill>
              <a:effectLst>
                <a:outerShdw blurRad="38100" dist="19050" dir="2700000" algn="tl" rotWithShape="0">
                  <a:schemeClr val="dk1">
                    <a:alpha val="40000"/>
                  </a:schemeClr>
                </a:outerShdw>
              </a:effectLst>
            </a:rPr>
            <a:t>       </a:t>
          </a:r>
        </a:p>
      </xdr:txBody>
    </xdr:sp>
    <xdr:clientData/>
  </xdr:twoCellAnchor>
  <xdr:twoCellAnchor>
    <xdr:from>
      <xdr:col>19</xdr:col>
      <xdr:colOff>22860</xdr:colOff>
      <xdr:row>3</xdr:row>
      <xdr:rowOff>137160</xdr:rowOff>
    </xdr:from>
    <xdr:to>
      <xdr:col>22</xdr:col>
      <xdr:colOff>106680</xdr:colOff>
      <xdr:row>6</xdr:row>
      <xdr:rowOff>60960</xdr:rowOff>
    </xdr:to>
    <xdr:sp macro="" textlink="">
      <xdr:nvSpPr>
        <xdr:cNvPr id="32" name="Rectangle: Beveled 31">
          <a:extLst>
            <a:ext uri="{FF2B5EF4-FFF2-40B4-BE49-F238E27FC236}">
              <a16:creationId xmlns:a16="http://schemas.microsoft.com/office/drawing/2014/main" id="{A6330378-A9FA-A458-FBAC-967DA6F9A80E}"/>
            </a:ext>
          </a:extLst>
        </xdr:cNvPr>
        <xdr:cNvSpPr/>
      </xdr:nvSpPr>
      <xdr:spPr>
        <a:xfrm>
          <a:off x="11612880" y="685800"/>
          <a:ext cx="1912620" cy="472440"/>
        </a:xfrm>
        <a:prstGeom prst="bevel">
          <a:avLst/>
        </a:prstGeom>
        <a:solidFill>
          <a:srgbClr val="66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0" cap="none" spc="0">
              <a:ln w="0"/>
              <a:solidFill>
                <a:schemeClr val="tx1"/>
              </a:solidFill>
              <a:effectLst>
                <a:outerShdw blurRad="38100" dist="19050" dir="2700000" algn="tl" rotWithShape="0">
                  <a:schemeClr val="dk1">
                    <a:alpha val="40000"/>
                  </a:schemeClr>
                </a:outerShdw>
              </a:effectLst>
            </a:rPr>
            <a:t>TOTAL PROFIT</a:t>
          </a:r>
        </a:p>
        <a:p>
          <a:pPr algn="l"/>
          <a:endParaRPr lang="en-IN" sz="20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24</xdr:col>
      <xdr:colOff>22860</xdr:colOff>
      <xdr:row>4</xdr:row>
      <xdr:rowOff>7620</xdr:rowOff>
    </xdr:from>
    <xdr:to>
      <xdr:col>25</xdr:col>
      <xdr:colOff>266700</xdr:colOff>
      <xdr:row>6</xdr:row>
      <xdr:rowOff>7620</xdr:rowOff>
    </xdr:to>
    <xdr:sp macro="" textlink="">
      <xdr:nvSpPr>
        <xdr:cNvPr id="33" name="Rectangle 32">
          <a:extLst>
            <a:ext uri="{FF2B5EF4-FFF2-40B4-BE49-F238E27FC236}">
              <a16:creationId xmlns:a16="http://schemas.microsoft.com/office/drawing/2014/main" id="{5B4AB9D8-B6DE-1AAA-9E32-2575DF6934DE}"/>
            </a:ext>
          </a:extLst>
        </xdr:cNvPr>
        <xdr:cNvSpPr/>
      </xdr:nvSpPr>
      <xdr:spPr>
        <a:xfrm>
          <a:off x="14813280" y="739140"/>
          <a:ext cx="853440" cy="365760"/>
        </a:xfrm>
        <a:prstGeom prst="rect">
          <a:avLst/>
        </a:prstGeom>
        <a:solidFill>
          <a:srgbClr val="66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0" cap="none" spc="0">
              <a:ln w="0"/>
              <a:solidFill>
                <a:schemeClr val="tx1"/>
              </a:solidFill>
              <a:effectLst>
                <a:outerShdw blurRad="38100" dist="19050" dir="2700000" algn="tl" rotWithShape="0">
                  <a:schemeClr val="dk1">
                    <a:alpha val="40000"/>
                  </a:schemeClr>
                </a:outerShdw>
              </a:effectLst>
            </a:rPr>
            <a:t>ORDERS</a:t>
          </a:r>
        </a:p>
      </xdr:txBody>
    </xdr:sp>
    <xdr:clientData/>
  </xdr:twoCellAnchor>
  <xdr:twoCellAnchor>
    <xdr:from>
      <xdr:col>4</xdr:col>
      <xdr:colOff>586740</xdr:colOff>
      <xdr:row>7</xdr:row>
      <xdr:rowOff>160020</xdr:rowOff>
    </xdr:from>
    <xdr:to>
      <xdr:col>13</xdr:col>
      <xdr:colOff>83820</xdr:colOff>
      <xdr:row>23</xdr:row>
      <xdr:rowOff>60960</xdr:rowOff>
    </xdr:to>
    <xdr:graphicFrame macro="">
      <xdr:nvGraphicFramePr>
        <xdr:cNvPr id="2" name="Chart 1">
          <a:extLst>
            <a:ext uri="{FF2B5EF4-FFF2-40B4-BE49-F238E27FC236}">
              <a16:creationId xmlns:a16="http://schemas.microsoft.com/office/drawing/2014/main" id="{FED041DA-DB4C-4602-8F5F-01DBBF52B4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83820</xdr:colOff>
      <xdr:row>7</xdr:row>
      <xdr:rowOff>152400</xdr:rowOff>
    </xdr:from>
    <xdr:to>
      <xdr:col>23</xdr:col>
      <xdr:colOff>45720</xdr:colOff>
      <xdr:row>23</xdr:row>
      <xdr:rowOff>68580</xdr:rowOff>
    </xdr:to>
    <xdr:graphicFrame macro="">
      <xdr:nvGraphicFramePr>
        <xdr:cNvPr id="3" name="Chart 2">
          <a:extLst>
            <a:ext uri="{FF2B5EF4-FFF2-40B4-BE49-F238E27FC236}">
              <a16:creationId xmlns:a16="http://schemas.microsoft.com/office/drawing/2014/main" id="{6500BC84-9F71-4484-BF0B-3A50DE44B9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594360</xdr:colOff>
      <xdr:row>23</xdr:row>
      <xdr:rowOff>45720</xdr:rowOff>
    </xdr:from>
    <xdr:to>
      <xdr:col>13</xdr:col>
      <xdr:colOff>312420</xdr:colOff>
      <xdr:row>40</xdr:row>
      <xdr:rowOff>175260</xdr:rowOff>
    </xdr:to>
    <xdr:graphicFrame macro="">
      <xdr:nvGraphicFramePr>
        <xdr:cNvPr id="4" name="Chart 3">
          <a:extLst>
            <a:ext uri="{FF2B5EF4-FFF2-40B4-BE49-F238E27FC236}">
              <a16:creationId xmlns:a16="http://schemas.microsoft.com/office/drawing/2014/main" id="{0F2F5BDD-D837-43B4-AA1B-ED8B0BC7E8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320040</xdr:colOff>
      <xdr:row>23</xdr:row>
      <xdr:rowOff>45720</xdr:rowOff>
    </xdr:from>
    <xdr:to>
      <xdr:col>23</xdr:col>
      <xdr:colOff>53340</xdr:colOff>
      <xdr:row>40</xdr:row>
      <xdr:rowOff>175260</xdr:rowOff>
    </xdr:to>
    <xdr:graphicFrame macro="">
      <xdr:nvGraphicFramePr>
        <xdr:cNvPr id="5" name="Chart 4">
          <a:extLst>
            <a:ext uri="{FF2B5EF4-FFF2-40B4-BE49-F238E27FC236}">
              <a16:creationId xmlns:a16="http://schemas.microsoft.com/office/drawing/2014/main" id="{A0A4E369-1A1F-4F46-A81F-74DCE4F8B0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5</xdr:row>
      <xdr:rowOff>0</xdr:rowOff>
    </xdr:from>
    <xdr:to>
      <xdr:col>4</xdr:col>
      <xdr:colOff>594360</xdr:colOff>
      <xdr:row>16</xdr:row>
      <xdr:rowOff>3585</xdr:rowOff>
    </xdr:to>
    <mc:AlternateContent xmlns:mc="http://schemas.openxmlformats.org/markup-compatibility/2006" xmlns:a14="http://schemas.microsoft.com/office/drawing/2010/main">
      <mc:Choice Requires="a14">
        <xdr:graphicFrame macro="">
          <xdr:nvGraphicFramePr>
            <xdr:cNvPr id="6" name="PRODUCT 1">
              <a:extLst>
                <a:ext uri="{FF2B5EF4-FFF2-40B4-BE49-F238E27FC236}">
                  <a16:creationId xmlns:a16="http://schemas.microsoft.com/office/drawing/2014/main" id="{3C29CA78-B192-4EE3-AA74-7650D9F841CF}"/>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0" y="914400"/>
              <a:ext cx="3032760" cy="20152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160020</xdr:rowOff>
    </xdr:from>
    <xdr:to>
      <xdr:col>4</xdr:col>
      <xdr:colOff>594360</xdr:colOff>
      <xdr:row>23</xdr:row>
      <xdr:rowOff>60960</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75FB5BC1-1705-4731-A830-A98BA5D7F0B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2903220"/>
              <a:ext cx="3032760" cy="1363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38101</xdr:rowOff>
    </xdr:from>
    <xdr:to>
      <xdr:col>4</xdr:col>
      <xdr:colOff>579120</xdr:colOff>
      <xdr:row>32</xdr:row>
      <xdr:rowOff>15241</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3DC18648-D934-4C06-98B1-961B4F013D9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4244341"/>
              <a:ext cx="3017520" cy="1623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32</xdr:row>
      <xdr:rowOff>22860</xdr:rowOff>
    </xdr:from>
    <xdr:to>
      <xdr:col>4</xdr:col>
      <xdr:colOff>601980</xdr:colOff>
      <xdr:row>41</xdr:row>
      <xdr:rowOff>0</xdr:rowOff>
    </xdr:to>
    <mc:AlternateContent xmlns:mc="http://schemas.openxmlformats.org/markup-compatibility/2006" xmlns:a14="http://schemas.microsoft.com/office/drawing/2010/main">
      <mc:Choice Requires="a14">
        <xdr:graphicFrame macro="">
          <xdr:nvGraphicFramePr>
            <xdr:cNvPr id="9" name="Months (ORDER DATE) 1">
              <a:extLst>
                <a:ext uri="{FF2B5EF4-FFF2-40B4-BE49-F238E27FC236}">
                  <a16:creationId xmlns:a16="http://schemas.microsoft.com/office/drawing/2014/main" id="{89AC9A56-FEA1-4996-AF9D-364257BAC8A4}"/>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0" y="5875020"/>
              <a:ext cx="3040380" cy="1623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7471</xdr:colOff>
      <xdr:row>41</xdr:row>
      <xdr:rowOff>7470</xdr:rowOff>
    </xdr:from>
    <xdr:to>
      <xdr:col>5</xdr:col>
      <xdr:colOff>605118</xdr:colOff>
      <xdr:row>51</xdr:row>
      <xdr:rowOff>22412</xdr:rowOff>
    </xdr:to>
    <xdr:pic>
      <xdr:nvPicPr>
        <xdr:cNvPr id="11" name="Picture 10">
          <a:extLst>
            <a:ext uri="{FF2B5EF4-FFF2-40B4-BE49-F238E27FC236}">
              <a16:creationId xmlns:a16="http://schemas.microsoft.com/office/drawing/2014/main" id="{D0E3CAAF-AAF9-65EC-5503-3F9E30144DC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71" y="7358529"/>
          <a:ext cx="3660588" cy="18078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14941</xdr:colOff>
      <xdr:row>41</xdr:row>
      <xdr:rowOff>1</xdr:rowOff>
    </xdr:from>
    <xdr:to>
      <xdr:col>14</xdr:col>
      <xdr:colOff>298824</xdr:colOff>
      <xdr:row>51</xdr:row>
      <xdr:rowOff>22412</xdr:rowOff>
    </xdr:to>
    <xdr:pic>
      <xdr:nvPicPr>
        <xdr:cNvPr id="13" name="Picture 12">
          <a:extLst>
            <a:ext uri="{FF2B5EF4-FFF2-40B4-BE49-F238E27FC236}">
              <a16:creationId xmlns:a16="http://schemas.microsoft.com/office/drawing/2014/main" id="{F48D1C38-D631-108F-84C1-9439C1D3E69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15647" y="7351060"/>
          <a:ext cx="3959412" cy="1815352"/>
        </a:xfrm>
        <a:prstGeom prst="rect">
          <a:avLst/>
        </a:prstGeom>
        <a:solidFill>
          <a:schemeClr val="accent3">
            <a:lumMod val="40000"/>
            <a:lumOff val="60000"/>
          </a:schemeClr>
        </a:solidFill>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8.605209490743" createdVersion="8" refreshedVersion="8" minRefreshableVersion="3" recordCount="100" xr:uid="{D13DED8F-0A91-4BC5-B9D9-B543BEF79EE4}">
  <cacheSource type="worksheet">
    <worksheetSource ref="A1:F101" sheet="DATA"/>
  </cacheSource>
  <cacheFields count="8">
    <cacheField name="ORDER DATE" numFmtId="14">
      <sharedItems containsSemiMixedTypes="0" containsNonDate="0" containsDate="1" containsString="0" minDate="2026-01-01T00:00:00" maxDate="2026-04-11T00:00:00" count="1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sharedItems>
      <fieldGroup par="7"/>
    </cacheField>
    <cacheField name="PRODUCT" numFmtId="0">
      <sharedItems count="10">
        <s v="Laptop"/>
        <s v="Headphones"/>
        <s v="Office Chair"/>
        <s v="Desk Lamp"/>
        <s v="Notebook"/>
        <s v="Pen Set"/>
        <s v="Backpack"/>
        <s v="Water Bottle"/>
        <s v="Smartphone"/>
        <s v="Printer"/>
      </sharedItems>
    </cacheField>
    <cacheField name="CATEGORY" numFmtId="0">
      <sharedItems count="4">
        <s v="Electronics"/>
        <s v="Furniture"/>
        <s v="Stationery"/>
        <s v="Accessories"/>
      </sharedItems>
    </cacheField>
    <cacheField name="REGION" numFmtId="0">
      <sharedItems count="5">
        <s v="North"/>
        <s v="South"/>
        <s v="East"/>
        <s v="West"/>
        <s v="Central"/>
      </sharedItems>
    </cacheField>
    <cacheField name="SALES" numFmtId="1">
      <sharedItems containsSemiMixedTypes="0" containsString="0" containsNumber="1" containsInteger="1" minValue="2500" maxValue="16063"/>
    </cacheField>
    <cacheField name="PROFIT" numFmtId="1">
      <sharedItems containsSemiMixedTypes="0" containsString="0" containsNumber="1" containsInteger="1" minValue="300" maxValue="4459"/>
    </cacheField>
    <cacheField name="Days (ORDER DATE)" numFmtId="0" databaseField="0">
      <fieldGroup base="0">
        <rangePr groupBy="days" startDate="2026-01-01T00:00:00" endDate="2026-04-1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1-04-2026"/>
        </groupItems>
      </fieldGroup>
    </cacheField>
    <cacheField name="Months (ORDER DATE)" numFmtId="0" databaseField="0">
      <fieldGroup base="0">
        <rangePr groupBy="months" startDate="2026-01-01T00:00:00" endDate="2026-04-11T00:00:00"/>
        <groupItems count="14">
          <s v="&lt;01-01-2026"/>
          <s v="Jan"/>
          <s v="Feb"/>
          <s v="Mar"/>
          <s v="Apr"/>
          <s v="May"/>
          <s v="Jun"/>
          <s v="Jul"/>
          <s v="Aug"/>
          <s v="Sep"/>
          <s v="Oct"/>
          <s v="Nov"/>
          <s v="Dec"/>
          <s v="&gt;11-04-2026"/>
        </groupItems>
      </fieldGroup>
    </cacheField>
  </cacheFields>
  <extLst>
    <ext xmlns:x14="http://schemas.microsoft.com/office/spreadsheetml/2009/9/main" uri="{725AE2AE-9491-48be-B2B4-4EB974FC3084}">
      <x14:pivotCacheDefinition pivotCacheId="11931509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n v="2500"/>
    <n v="300"/>
  </r>
  <r>
    <x v="1"/>
    <x v="1"/>
    <x v="0"/>
    <x v="1"/>
    <n v="2637"/>
    <n v="369"/>
  </r>
  <r>
    <x v="2"/>
    <x v="2"/>
    <x v="1"/>
    <x v="2"/>
    <n v="2774"/>
    <n v="444"/>
  </r>
  <r>
    <x v="3"/>
    <x v="3"/>
    <x v="1"/>
    <x v="3"/>
    <n v="2911"/>
    <n v="524"/>
  </r>
  <r>
    <x v="4"/>
    <x v="4"/>
    <x v="2"/>
    <x v="4"/>
    <n v="3048"/>
    <n v="610"/>
  </r>
  <r>
    <x v="5"/>
    <x v="5"/>
    <x v="2"/>
    <x v="0"/>
    <n v="3185"/>
    <n v="701"/>
  </r>
  <r>
    <x v="6"/>
    <x v="6"/>
    <x v="3"/>
    <x v="1"/>
    <n v="3322"/>
    <n v="797"/>
  </r>
  <r>
    <x v="7"/>
    <x v="7"/>
    <x v="3"/>
    <x v="2"/>
    <n v="3459"/>
    <n v="899"/>
  </r>
  <r>
    <x v="8"/>
    <x v="8"/>
    <x v="0"/>
    <x v="3"/>
    <n v="3596"/>
    <n v="1007"/>
  </r>
  <r>
    <x v="9"/>
    <x v="9"/>
    <x v="0"/>
    <x v="4"/>
    <n v="3733"/>
    <n v="448"/>
  </r>
  <r>
    <x v="10"/>
    <x v="0"/>
    <x v="0"/>
    <x v="0"/>
    <n v="3870"/>
    <n v="542"/>
  </r>
  <r>
    <x v="11"/>
    <x v="1"/>
    <x v="0"/>
    <x v="1"/>
    <n v="4007"/>
    <n v="641"/>
  </r>
  <r>
    <x v="12"/>
    <x v="2"/>
    <x v="1"/>
    <x v="2"/>
    <n v="4144"/>
    <n v="746"/>
  </r>
  <r>
    <x v="13"/>
    <x v="3"/>
    <x v="1"/>
    <x v="3"/>
    <n v="4281"/>
    <n v="856"/>
  </r>
  <r>
    <x v="14"/>
    <x v="4"/>
    <x v="2"/>
    <x v="4"/>
    <n v="4418"/>
    <n v="972"/>
  </r>
  <r>
    <x v="15"/>
    <x v="5"/>
    <x v="2"/>
    <x v="0"/>
    <n v="4555"/>
    <n v="1093"/>
  </r>
  <r>
    <x v="16"/>
    <x v="6"/>
    <x v="3"/>
    <x v="1"/>
    <n v="4692"/>
    <n v="1220"/>
  </r>
  <r>
    <x v="17"/>
    <x v="7"/>
    <x v="3"/>
    <x v="2"/>
    <n v="4829"/>
    <n v="1352"/>
  </r>
  <r>
    <x v="18"/>
    <x v="8"/>
    <x v="0"/>
    <x v="3"/>
    <n v="4966"/>
    <n v="596"/>
  </r>
  <r>
    <x v="19"/>
    <x v="9"/>
    <x v="0"/>
    <x v="4"/>
    <n v="5103"/>
    <n v="714"/>
  </r>
  <r>
    <x v="20"/>
    <x v="0"/>
    <x v="0"/>
    <x v="0"/>
    <n v="5240"/>
    <n v="838"/>
  </r>
  <r>
    <x v="21"/>
    <x v="1"/>
    <x v="0"/>
    <x v="1"/>
    <n v="5377"/>
    <n v="968"/>
  </r>
  <r>
    <x v="22"/>
    <x v="2"/>
    <x v="1"/>
    <x v="2"/>
    <n v="5514"/>
    <n v="1103"/>
  </r>
  <r>
    <x v="23"/>
    <x v="3"/>
    <x v="1"/>
    <x v="3"/>
    <n v="5651"/>
    <n v="1243"/>
  </r>
  <r>
    <x v="24"/>
    <x v="4"/>
    <x v="2"/>
    <x v="4"/>
    <n v="5788"/>
    <n v="1389"/>
  </r>
  <r>
    <x v="25"/>
    <x v="5"/>
    <x v="2"/>
    <x v="0"/>
    <n v="5925"/>
    <n v="1541"/>
  </r>
  <r>
    <x v="26"/>
    <x v="6"/>
    <x v="3"/>
    <x v="1"/>
    <n v="6062"/>
    <n v="1697"/>
  </r>
  <r>
    <x v="27"/>
    <x v="7"/>
    <x v="3"/>
    <x v="2"/>
    <n v="6199"/>
    <n v="744"/>
  </r>
  <r>
    <x v="28"/>
    <x v="8"/>
    <x v="0"/>
    <x v="3"/>
    <n v="6336"/>
    <n v="887"/>
  </r>
  <r>
    <x v="29"/>
    <x v="9"/>
    <x v="0"/>
    <x v="4"/>
    <n v="6473"/>
    <n v="1036"/>
  </r>
  <r>
    <x v="30"/>
    <x v="0"/>
    <x v="0"/>
    <x v="0"/>
    <n v="6610"/>
    <n v="1190"/>
  </r>
  <r>
    <x v="31"/>
    <x v="1"/>
    <x v="0"/>
    <x v="1"/>
    <n v="6747"/>
    <n v="1349"/>
  </r>
  <r>
    <x v="32"/>
    <x v="2"/>
    <x v="1"/>
    <x v="2"/>
    <n v="6884"/>
    <n v="1514"/>
  </r>
  <r>
    <x v="33"/>
    <x v="3"/>
    <x v="1"/>
    <x v="3"/>
    <n v="7021"/>
    <n v="1685"/>
  </r>
  <r>
    <x v="34"/>
    <x v="4"/>
    <x v="2"/>
    <x v="4"/>
    <n v="7158"/>
    <n v="1861"/>
  </r>
  <r>
    <x v="35"/>
    <x v="5"/>
    <x v="2"/>
    <x v="0"/>
    <n v="7295"/>
    <n v="2043"/>
  </r>
  <r>
    <x v="36"/>
    <x v="6"/>
    <x v="3"/>
    <x v="1"/>
    <n v="7432"/>
    <n v="892"/>
  </r>
  <r>
    <x v="37"/>
    <x v="7"/>
    <x v="3"/>
    <x v="2"/>
    <n v="7569"/>
    <n v="1060"/>
  </r>
  <r>
    <x v="38"/>
    <x v="8"/>
    <x v="0"/>
    <x v="3"/>
    <n v="7706"/>
    <n v="1233"/>
  </r>
  <r>
    <x v="39"/>
    <x v="9"/>
    <x v="0"/>
    <x v="4"/>
    <n v="7843"/>
    <n v="1412"/>
  </r>
  <r>
    <x v="40"/>
    <x v="0"/>
    <x v="0"/>
    <x v="0"/>
    <n v="7980"/>
    <n v="1596"/>
  </r>
  <r>
    <x v="41"/>
    <x v="1"/>
    <x v="0"/>
    <x v="1"/>
    <n v="8117"/>
    <n v="1786"/>
  </r>
  <r>
    <x v="42"/>
    <x v="2"/>
    <x v="1"/>
    <x v="2"/>
    <n v="8254"/>
    <n v="1981"/>
  </r>
  <r>
    <x v="43"/>
    <x v="3"/>
    <x v="1"/>
    <x v="3"/>
    <n v="8391"/>
    <n v="2182"/>
  </r>
  <r>
    <x v="44"/>
    <x v="4"/>
    <x v="2"/>
    <x v="4"/>
    <n v="8528"/>
    <n v="2388"/>
  </r>
  <r>
    <x v="45"/>
    <x v="5"/>
    <x v="2"/>
    <x v="0"/>
    <n v="8665"/>
    <n v="1040"/>
  </r>
  <r>
    <x v="46"/>
    <x v="6"/>
    <x v="3"/>
    <x v="1"/>
    <n v="8802"/>
    <n v="1232"/>
  </r>
  <r>
    <x v="47"/>
    <x v="7"/>
    <x v="3"/>
    <x v="2"/>
    <n v="8939"/>
    <n v="1430"/>
  </r>
  <r>
    <x v="48"/>
    <x v="8"/>
    <x v="0"/>
    <x v="3"/>
    <n v="9076"/>
    <n v="1634"/>
  </r>
  <r>
    <x v="49"/>
    <x v="9"/>
    <x v="0"/>
    <x v="4"/>
    <n v="9213"/>
    <n v="1843"/>
  </r>
  <r>
    <x v="50"/>
    <x v="0"/>
    <x v="0"/>
    <x v="0"/>
    <n v="9350"/>
    <n v="2057"/>
  </r>
  <r>
    <x v="51"/>
    <x v="1"/>
    <x v="0"/>
    <x v="1"/>
    <n v="9487"/>
    <n v="2277"/>
  </r>
  <r>
    <x v="52"/>
    <x v="2"/>
    <x v="1"/>
    <x v="2"/>
    <n v="9624"/>
    <n v="2502"/>
  </r>
  <r>
    <x v="53"/>
    <x v="3"/>
    <x v="1"/>
    <x v="3"/>
    <n v="9761"/>
    <n v="2733"/>
  </r>
  <r>
    <x v="54"/>
    <x v="4"/>
    <x v="2"/>
    <x v="4"/>
    <n v="9898"/>
    <n v="1188"/>
  </r>
  <r>
    <x v="55"/>
    <x v="5"/>
    <x v="2"/>
    <x v="0"/>
    <n v="10035"/>
    <n v="1405"/>
  </r>
  <r>
    <x v="56"/>
    <x v="6"/>
    <x v="3"/>
    <x v="1"/>
    <n v="10172"/>
    <n v="1628"/>
  </r>
  <r>
    <x v="57"/>
    <x v="7"/>
    <x v="3"/>
    <x v="2"/>
    <n v="10309"/>
    <n v="1856"/>
  </r>
  <r>
    <x v="58"/>
    <x v="8"/>
    <x v="0"/>
    <x v="3"/>
    <n v="10446"/>
    <n v="2089"/>
  </r>
  <r>
    <x v="59"/>
    <x v="9"/>
    <x v="0"/>
    <x v="4"/>
    <n v="10583"/>
    <n v="2328"/>
  </r>
  <r>
    <x v="60"/>
    <x v="0"/>
    <x v="0"/>
    <x v="0"/>
    <n v="10720"/>
    <n v="2573"/>
  </r>
  <r>
    <x v="61"/>
    <x v="1"/>
    <x v="0"/>
    <x v="1"/>
    <n v="10857"/>
    <n v="2823"/>
  </r>
  <r>
    <x v="62"/>
    <x v="2"/>
    <x v="1"/>
    <x v="2"/>
    <n v="10994"/>
    <n v="3078"/>
  </r>
  <r>
    <x v="63"/>
    <x v="3"/>
    <x v="1"/>
    <x v="3"/>
    <n v="11131"/>
    <n v="1336"/>
  </r>
  <r>
    <x v="64"/>
    <x v="4"/>
    <x v="2"/>
    <x v="4"/>
    <n v="11268"/>
    <n v="1578"/>
  </r>
  <r>
    <x v="65"/>
    <x v="5"/>
    <x v="2"/>
    <x v="0"/>
    <n v="11405"/>
    <n v="1825"/>
  </r>
  <r>
    <x v="66"/>
    <x v="6"/>
    <x v="3"/>
    <x v="1"/>
    <n v="11542"/>
    <n v="2078"/>
  </r>
  <r>
    <x v="67"/>
    <x v="7"/>
    <x v="3"/>
    <x v="2"/>
    <n v="11679"/>
    <n v="2336"/>
  </r>
  <r>
    <x v="68"/>
    <x v="8"/>
    <x v="0"/>
    <x v="3"/>
    <n v="11816"/>
    <n v="2600"/>
  </r>
  <r>
    <x v="69"/>
    <x v="9"/>
    <x v="0"/>
    <x v="4"/>
    <n v="11953"/>
    <n v="2869"/>
  </r>
  <r>
    <x v="70"/>
    <x v="0"/>
    <x v="0"/>
    <x v="0"/>
    <n v="12090"/>
    <n v="3143"/>
  </r>
  <r>
    <x v="71"/>
    <x v="1"/>
    <x v="0"/>
    <x v="1"/>
    <n v="12227"/>
    <n v="3424"/>
  </r>
  <r>
    <x v="72"/>
    <x v="2"/>
    <x v="1"/>
    <x v="2"/>
    <n v="12364"/>
    <n v="1484"/>
  </r>
  <r>
    <x v="73"/>
    <x v="3"/>
    <x v="1"/>
    <x v="3"/>
    <n v="12501"/>
    <n v="1750"/>
  </r>
  <r>
    <x v="74"/>
    <x v="4"/>
    <x v="2"/>
    <x v="4"/>
    <n v="12638"/>
    <n v="2022"/>
  </r>
  <r>
    <x v="75"/>
    <x v="5"/>
    <x v="2"/>
    <x v="0"/>
    <n v="12775"/>
    <n v="2300"/>
  </r>
  <r>
    <x v="76"/>
    <x v="6"/>
    <x v="3"/>
    <x v="1"/>
    <n v="12912"/>
    <n v="2582"/>
  </r>
  <r>
    <x v="77"/>
    <x v="7"/>
    <x v="3"/>
    <x v="2"/>
    <n v="13049"/>
    <n v="2871"/>
  </r>
  <r>
    <x v="78"/>
    <x v="8"/>
    <x v="0"/>
    <x v="3"/>
    <n v="13186"/>
    <n v="3165"/>
  </r>
  <r>
    <x v="79"/>
    <x v="9"/>
    <x v="0"/>
    <x v="4"/>
    <n v="13323"/>
    <n v="3464"/>
  </r>
  <r>
    <x v="80"/>
    <x v="0"/>
    <x v="0"/>
    <x v="0"/>
    <n v="13460"/>
    <n v="3769"/>
  </r>
  <r>
    <x v="81"/>
    <x v="1"/>
    <x v="0"/>
    <x v="1"/>
    <n v="13597"/>
    <n v="1632"/>
  </r>
  <r>
    <x v="82"/>
    <x v="2"/>
    <x v="1"/>
    <x v="2"/>
    <n v="13734"/>
    <n v="1923"/>
  </r>
  <r>
    <x v="83"/>
    <x v="3"/>
    <x v="1"/>
    <x v="3"/>
    <n v="13871"/>
    <n v="2219"/>
  </r>
  <r>
    <x v="84"/>
    <x v="4"/>
    <x v="2"/>
    <x v="4"/>
    <n v="14008"/>
    <n v="2521"/>
  </r>
  <r>
    <x v="85"/>
    <x v="5"/>
    <x v="2"/>
    <x v="0"/>
    <n v="14145"/>
    <n v="2829"/>
  </r>
  <r>
    <x v="86"/>
    <x v="6"/>
    <x v="3"/>
    <x v="1"/>
    <n v="14282"/>
    <n v="3142"/>
  </r>
  <r>
    <x v="87"/>
    <x v="7"/>
    <x v="3"/>
    <x v="2"/>
    <n v="14419"/>
    <n v="3461"/>
  </r>
  <r>
    <x v="88"/>
    <x v="8"/>
    <x v="0"/>
    <x v="3"/>
    <n v="14556"/>
    <n v="3785"/>
  </r>
  <r>
    <x v="89"/>
    <x v="9"/>
    <x v="0"/>
    <x v="4"/>
    <n v="14693"/>
    <n v="4114"/>
  </r>
  <r>
    <x v="90"/>
    <x v="0"/>
    <x v="0"/>
    <x v="0"/>
    <n v="14830"/>
    <n v="1780"/>
  </r>
  <r>
    <x v="91"/>
    <x v="1"/>
    <x v="0"/>
    <x v="1"/>
    <n v="14967"/>
    <n v="2095"/>
  </r>
  <r>
    <x v="92"/>
    <x v="2"/>
    <x v="1"/>
    <x v="2"/>
    <n v="15104"/>
    <n v="2417"/>
  </r>
  <r>
    <x v="93"/>
    <x v="3"/>
    <x v="1"/>
    <x v="3"/>
    <n v="15241"/>
    <n v="2743"/>
  </r>
  <r>
    <x v="94"/>
    <x v="4"/>
    <x v="2"/>
    <x v="4"/>
    <n v="15378"/>
    <n v="3076"/>
  </r>
  <r>
    <x v="95"/>
    <x v="5"/>
    <x v="2"/>
    <x v="0"/>
    <n v="15515"/>
    <n v="3413"/>
  </r>
  <r>
    <x v="96"/>
    <x v="6"/>
    <x v="3"/>
    <x v="1"/>
    <n v="15652"/>
    <n v="3756"/>
  </r>
  <r>
    <x v="97"/>
    <x v="7"/>
    <x v="3"/>
    <x v="2"/>
    <n v="15789"/>
    <n v="4105"/>
  </r>
  <r>
    <x v="98"/>
    <x v="8"/>
    <x v="0"/>
    <x v="3"/>
    <n v="15926"/>
    <n v="4459"/>
  </r>
  <r>
    <x v="99"/>
    <x v="9"/>
    <x v="0"/>
    <x v="4"/>
    <n v="16063"/>
    <n v="19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B2C2EA-0262-4BA2-B2BF-3407C5A4779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4:B19" firstHeaderRow="1" firstDataRow="1" firstDataCol="1"/>
  <pivotFields count="8">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11">
        <item x="6"/>
        <item h="1" x="3"/>
        <item h="1" x="1"/>
        <item h="1" x="0"/>
        <item x="4"/>
        <item x="2"/>
        <item x="5"/>
        <item x="9"/>
        <item x="8"/>
        <item x="7"/>
        <item t="default"/>
      </items>
    </pivotField>
    <pivotField axis="axisRow" showAll="0">
      <items count="5">
        <item x="3"/>
        <item x="0"/>
        <item x="1"/>
        <item x="2"/>
        <item t="default"/>
      </items>
    </pivotField>
    <pivotField showAll="0">
      <items count="6">
        <item x="4"/>
        <item x="2"/>
        <item x="0"/>
        <item x="1"/>
        <item x="3"/>
        <item t="default"/>
      </items>
    </pivotField>
    <pivotField numFmtId="1" showAll="0"/>
    <pivotField dataField="1"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x="1"/>
        <item x="2"/>
        <item x="3"/>
        <item x="4"/>
        <item h="1" x="5"/>
        <item h="1" x="6"/>
        <item h="1" x="7"/>
        <item h="1" x="8"/>
        <item h="1" x="9"/>
        <item h="1" x="10"/>
        <item h="1" x="11"/>
        <item h="1" x="12"/>
        <item h="1" x="13"/>
        <item t="default"/>
      </items>
    </pivotField>
  </pivotFields>
  <rowFields count="1">
    <field x="2"/>
  </rowFields>
  <rowItems count="5">
    <i>
      <x/>
    </i>
    <i>
      <x v="1"/>
    </i>
    <i>
      <x v="2"/>
    </i>
    <i>
      <x v="3"/>
    </i>
    <i t="grand">
      <x/>
    </i>
  </rowItems>
  <colItems count="1">
    <i/>
  </colItems>
  <dataFields count="1">
    <dataField name="Sum of PROFIT" fld="5" baseField="0" baseItem="0" numFmtId="1"/>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65C9E6-AEDA-4705-BE60-1EC3A5AC90A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0:B28" firstHeaderRow="1" firstDataRow="1" firstDataCol="1"/>
  <pivotFields count="8">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11">
        <item x="6"/>
        <item h="1" x="3"/>
        <item h="1" x="1"/>
        <item h="1" x="0"/>
        <item x="4"/>
        <item x="2"/>
        <item x="5"/>
        <item x="9"/>
        <item x="8"/>
        <item x="7"/>
        <item t="default"/>
      </items>
    </pivotField>
    <pivotField showAll="0">
      <items count="5">
        <item x="3"/>
        <item x="0"/>
        <item x="1"/>
        <item x="2"/>
        <item t="default"/>
      </items>
    </pivotField>
    <pivotField showAll="0">
      <items count="6">
        <item x="4"/>
        <item x="2"/>
        <item x="0"/>
        <item x="1"/>
        <item x="3"/>
        <item t="default"/>
      </items>
    </pivotField>
    <pivotField dataField="1" numFmtId="1" showAll="0"/>
    <pivotField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x="1"/>
        <item x="2"/>
        <item x="3"/>
        <item x="4"/>
        <item h="1" x="5"/>
        <item h="1" x="6"/>
        <item h="1" x="7"/>
        <item h="1" x="8"/>
        <item h="1" x="9"/>
        <item h="1" x="10"/>
        <item h="1" x="11"/>
        <item h="1" x="12"/>
        <item h="1" x="13"/>
        <item t="default"/>
      </items>
    </pivotField>
  </pivotFields>
  <rowFields count="1">
    <field x="1"/>
  </rowFields>
  <rowItems count="8">
    <i>
      <x/>
    </i>
    <i>
      <x v="4"/>
    </i>
    <i>
      <x v="5"/>
    </i>
    <i>
      <x v="6"/>
    </i>
    <i>
      <x v="7"/>
    </i>
    <i>
      <x v="8"/>
    </i>
    <i>
      <x v="9"/>
    </i>
    <i t="grand">
      <x/>
    </i>
  </rowItems>
  <colItems count="1">
    <i/>
  </colItems>
  <dataFields count="1">
    <dataField name="Sum of SALES" fld="4" baseField="0"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A218C6-820B-4175-AE9B-BFEADD21FB4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9:B34" firstHeaderRow="1" firstDataRow="1" firstDataCol="1"/>
  <pivotFields count="8">
    <pivotField axis="axisRow" numFmtId="14" showAll="0">
      <items count="101">
        <item x="0"/>
        <item x="1"/>
        <item h="1"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11">
        <item x="6"/>
        <item h="1" x="3"/>
        <item h="1" x="1"/>
        <item h="1" x="0"/>
        <item x="4"/>
        <item x="2"/>
        <item x="5"/>
        <item x="9"/>
        <item x="8"/>
        <item x="7"/>
        <item t="default"/>
      </items>
    </pivotField>
    <pivotField showAll="0">
      <items count="5">
        <item x="3"/>
        <item x="0"/>
        <item x="1"/>
        <item x="2"/>
        <item t="default"/>
      </items>
    </pivotField>
    <pivotField showAll="0">
      <items count="6">
        <item x="4"/>
        <item x="2"/>
        <item x="0"/>
        <item x="1"/>
        <item x="3"/>
        <item t="default"/>
      </items>
    </pivotField>
    <pivotField dataField="1" numFmtId="1" showAll="0"/>
    <pivotField numFmtI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h="1" sd="0" x="0"/>
        <item sd="0" x="1"/>
        <item sd="0" x="2"/>
        <item sd="0" x="3"/>
        <item sd="0" x="4"/>
        <item h="1" sd="0" x="5"/>
        <item h="1" sd="0" x="6"/>
        <item h="1" sd="0" x="7"/>
        <item h="1" sd="0" x="8"/>
        <item h="1" sd="0" x="9"/>
        <item h="1" sd="0" x="10"/>
        <item h="1" sd="0" x="11"/>
        <item h="1" sd="0" x="12"/>
        <item h="1" sd="0" x="13"/>
        <item t="default"/>
      </items>
    </pivotField>
  </pivotFields>
  <rowFields count="2">
    <field x="7"/>
    <field x="0"/>
  </rowFields>
  <rowItems count="5">
    <i>
      <x v="1"/>
    </i>
    <i>
      <x v="2"/>
    </i>
    <i>
      <x v="3"/>
    </i>
    <i>
      <x v="4"/>
    </i>
    <i t="grand">
      <x/>
    </i>
  </rowItems>
  <colItems count="1">
    <i/>
  </colItems>
  <dataFields count="1">
    <dataField name="Sum of SALES" fld="4" baseField="0" baseItem="0" numFmtId="1"/>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89BE6E-A7BB-42C5-8464-8CE733C2FC7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5:C41" firstHeaderRow="0" firstDataRow="1" firstDataCol="1"/>
  <pivotFields count="8">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11">
        <item x="6"/>
        <item h="1" x="3"/>
        <item h="1" x="1"/>
        <item h="1" x="0"/>
        <item x="4"/>
        <item x="2"/>
        <item x="5"/>
        <item x="9"/>
        <item x="8"/>
        <item x="7"/>
        <item t="default"/>
      </items>
    </pivotField>
    <pivotField showAll="0">
      <items count="5">
        <item x="3"/>
        <item x="0"/>
        <item x="1"/>
        <item x="2"/>
        <item t="default"/>
      </items>
    </pivotField>
    <pivotField axis="axisRow" showAll="0">
      <items count="6">
        <item x="4"/>
        <item x="2"/>
        <item x="0"/>
        <item x="1"/>
        <item x="3"/>
        <item t="default"/>
      </items>
    </pivotField>
    <pivotField dataField="1" numFmtId="1" showAll="0"/>
    <pivotField dataField="1"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x="1"/>
        <item x="2"/>
        <item x="3"/>
        <item x="4"/>
        <item h="1" x="5"/>
        <item h="1" x="6"/>
        <item h="1" x="7"/>
        <item h="1" x="8"/>
        <item h="1" x="9"/>
        <item h="1" x="10"/>
        <item h="1" x="11"/>
        <item h="1" x="12"/>
        <item h="1" x="13"/>
        <item t="default"/>
      </items>
    </pivotField>
  </pivotFields>
  <rowFields count="1">
    <field x="3"/>
  </rowFields>
  <rowItems count="6">
    <i>
      <x/>
    </i>
    <i>
      <x v="1"/>
    </i>
    <i>
      <x v="2"/>
    </i>
    <i>
      <x v="3"/>
    </i>
    <i>
      <x v="4"/>
    </i>
    <i t="grand">
      <x/>
    </i>
  </rowItems>
  <colFields count="1">
    <field x="-2"/>
  </colFields>
  <colItems count="2">
    <i>
      <x/>
    </i>
    <i i="1">
      <x v="1"/>
    </i>
  </colItems>
  <dataFields count="2">
    <dataField name="Sum of PROFIT" fld="5" baseField="0" baseItem="0" numFmtId="1"/>
    <dataField name="Sum of SALES" fld="4" baseField="0" baseItem="0" numFmtId="1"/>
  </dataField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pivotArea type="data" outline="0" fieldPosition="0">
        <references count="2">
          <reference field="4294967294" count="1" selected="0">
            <x v="0"/>
          </reference>
          <reference field="3" count="1" selected="0">
            <x v="0"/>
          </reference>
        </references>
      </pivotArea>
    </chartFormat>
    <chartFormat chart="2" format="3">
      <pivotArea type="data" outline="0" fieldPosition="0">
        <references count="2">
          <reference field="4294967294" count="1" selected="0">
            <x v="0"/>
          </reference>
          <reference field="3" count="1" selected="0">
            <x v="1"/>
          </reference>
        </references>
      </pivotArea>
    </chartFormat>
    <chartFormat chart="2" format="4">
      <pivotArea type="data" outline="0" fieldPosition="0">
        <references count="2">
          <reference field="4294967294" count="1" selected="0">
            <x v="0"/>
          </reference>
          <reference field="3" count="1" selected="0">
            <x v="2"/>
          </reference>
        </references>
      </pivotArea>
    </chartFormat>
    <chartFormat chart="2" format="5">
      <pivotArea type="data" outline="0" fieldPosition="0">
        <references count="2">
          <reference field="4294967294" count="1" selected="0">
            <x v="0"/>
          </reference>
          <reference field="3" count="1" selected="0">
            <x v="3"/>
          </reference>
        </references>
      </pivotArea>
    </chartFormat>
    <chartFormat chart="2" format="6">
      <pivotArea type="data" outline="0" fieldPosition="0">
        <references count="2">
          <reference field="4294967294" count="1" selected="0">
            <x v="0"/>
          </reference>
          <reference field="3" count="1" selected="0">
            <x v="4"/>
          </reference>
        </references>
      </pivotArea>
    </chartFormat>
    <chartFormat chart="2" format="7">
      <pivotArea type="data" outline="0" fieldPosition="0">
        <references count="2">
          <reference field="4294967294" count="1" selected="0">
            <x v="1"/>
          </reference>
          <reference field="3" count="1" selected="0">
            <x v="0"/>
          </reference>
        </references>
      </pivotArea>
    </chartFormat>
    <chartFormat chart="2" format="8">
      <pivotArea type="data" outline="0" fieldPosition="0">
        <references count="2">
          <reference field="4294967294" count="1" selected="0">
            <x v="1"/>
          </reference>
          <reference field="3" count="1" selected="0">
            <x v="1"/>
          </reference>
        </references>
      </pivotArea>
    </chartFormat>
    <chartFormat chart="2" format="9">
      <pivotArea type="data" outline="0" fieldPosition="0">
        <references count="2">
          <reference field="4294967294" count="1" selected="0">
            <x v="1"/>
          </reference>
          <reference field="3" count="1" selected="0">
            <x v="2"/>
          </reference>
        </references>
      </pivotArea>
    </chartFormat>
    <chartFormat chart="2" format="10">
      <pivotArea type="data" outline="0" fieldPosition="0">
        <references count="2">
          <reference field="4294967294" count="1" selected="0">
            <x v="1"/>
          </reference>
          <reference field="3" count="1" selected="0">
            <x v="3"/>
          </reference>
        </references>
      </pivotArea>
    </chartFormat>
    <chartFormat chart="2" format="11">
      <pivotArea type="data" outline="0" fieldPosition="0">
        <references count="2">
          <reference field="4294967294" count="1" selected="0">
            <x v="1"/>
          </reference>
          <reference field="3" count="1" selected="0">
            <x v="4"/>
          </reference>
        </references>
      </pivotArea>
    </chartFormat>
    <chartFormat chart="9" format="24" series="1">
      <pivotArea type="data" outline="0" fieldPosition="0">
        <references count="1">
          <reference field="4294967294" count="1" selected="0">
            <x v="0"/>
          </reference>
        </references>
      </pivotArea>
    </chartFormat>
    <chartFormat chart="9" format="25">
      <pivotArea type="data" outline="0" fieldPosition="0">
        <references count="2">
          <reference field="4294967294" count="1" selected="0">
            <x v="0"/>
          </reference>
          <reference field="3" count="1" selected="0">
            <x v="0"/>
          </reference>
        </references>
      </pivotArea>
    </chartFormat>
    <chartFormat chart="9" format="26">
      <pivotArea type="data" outline="0" fieldPosition="0">
        <references count="2">
          <reference field="4294967294" count="1" selected="0">
            <x v="0"/>
          </reference>
          <reference field="3" count="1" selected="0">
            <x v="1"/>
          </reference>
        </references>
      </pivotArea>
    </chartFormat>
    <chartFormat chart="9" format="27">
      <pivotArea type="data" outline="0" fieldPosition="0">
        <references count="2">
          <reference field="4294967294" count="1" selected="0">
            <x v="0"/>
          </reference>
          <reference field="3" count="1" selected="0">
            <x v="2"/>
          </reference>
        </references>
      </pivotArea>
    </chartFormat>
    <chartFormat chart="9" format="28">
      <pivotArea type="data" outline="0" fieldPosition="0">
        <references count="2">
          <reference field="4294967294" count="1" selected="0">
            <x v="0"/>
          </reference>
          <reference field="3" count="1" selected="0">
            <x v="3"/>
          </reference>
        </references>
      </pivotArea>
    </chartFormat>
    <chartFormat chart="9" format="29">
      <pivotArea type="data" outline="0" fieldPosition="0">
        <references count="2">
          <reference field="4294967294" count="1" selected="0">
            <x v="0"/>
          </reference>
          <reference field="3" count="1" selected="0">
            <x v="4"/>
          </reference>
        </references>
      </pivotArea>
    </chartFormat>
    <chartFormat chart="9" format="30" series="1">
      <pivotArea type="data" outline="0" fieldPosition="0">
        <references count="1">
          <reference field="4294967294" count="1" selected="0">
            <x v="1"/>
          </reference>
        </references>
      </pivotArea>
    </chartFormat>
    <chartFormat chart="9" format="31">
      <pivotArea type="data" outline="0" fieldPosition="0">
        <references count="2">
          <reference field="4294967294" count="1" selected="0">
            <x v="1"/>
          </reference>
          <reference field="3" count="1" selected="0">
            <x v="0"/>
          </reference>
        </references>
      </pivotArea>
    </chartFormat>
    <chartFormat chart="9" format="32">
      <pivotArea type="data" outline="0" fieldPosition="0">
        <references count="2">
          <reference field="4294967294" count="1" selected="0">
            <x v="1"/>
          </reference>
          <reference field="3" count="1" selected="0">
            <x v="1"/>
          </reference>
        </references>
      </pivotArea>
    </chartFormat>
    <chartFormat chart="9" format="33">
      <pivotArea type="data" outline="0" fieldPosition="0">
        <references count="2">
          <reference field="4294967294" count="1" selected="0">
            <x v="1"/>
          </reference>
          <reference field="3" count="1" selected="0">
            <x v="2"/>
          </reference>
        </references>
      </pivotArea>
    </chartFormat>
    <chartFormat chart="9" format="34">
      <pivotArea type="data" outline="0" fieldPosition="0">
        <references count="2">
          <reference field="4294967294" count="1" selected="0">
            <x v="1"/>
          </reference>
          <reference field="3" count="1" selected="0">
            <x v="3"/>
          </reference>
        </references>
      </pivotArea>
    </chartFormat>
    <chartFormat chart="9" format="35">
      <pivotArea type="data" outline="0" fieldPosition="0">
        <references count="2">
          <reference field="4294967294" count="1" selected="0">
            <x v="1"/>
          </reference>
          <reference field="3" count="1" selected="0">
            <x v="4"/>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D4C1EA0E-BEF1-4DE7-8834-2DF1B118A755}" sourceName="PRODUCT">
  <pivotTables>
    <pivotTable tabId="3" name="PivotTable1"/>
    <pivotTable tabId="3" name="PivotTable5"/>
    <pivotTable tabId="3" name="PivotTable2"/>
    <pivotTable tabId="3" name="PivotTable3"/>
  </pivotTables>
  <data>
    <tabular pivotCacheId="1193150909">
      <items count="10">
        <i x="6" s="1"/>
        <i x="3"/>
        <i x="1"/>
        <i x="0"/>
        <i x="4" s="1"/>
        <i x="2" s="1"/>
        <i x="5" s="1"/>
        <i x="9" s="1"/>
        <i x="8"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4317303-6CEA-4BD5-B948-BA034A6D17A7}" sourceName="CATEGORY">
  <pivotTables>
    <pivotTable tabId="3" name="PivotTable1"/>
    <pivotTable tabId="3" name="PivotTable5"/>
  </pivotTables>
  <data>
    <tabular pivotCacheId="1193150909">
      <items count="4">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9A6F742-A408-44B2-8674-00E32DC02D0F}" sourceName="REGION">
  <pivotTables>
    <pivotTable tabId="3" name="PivotTable1"/>
    <pivotTable tabId="3" name="PivotTable5"/>
    <pivotTable tabId="3" name="PivotTable2"/>
    <pivotTable tabId="3" name="PivotTable3"/>
  </pivotTables>
  <data>
    <tabular pivotCacheId="1193150909">
      <items count="5">
        <i x="4" s="1"/>
        <i x="2" s="1"/>
        <i x="0"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BBF36A95-C714-427E-81C7-B1222B34F8CE}" sourceName="Months (ORDER DATE)">
  <pivotTables>
    <pivotTable tabId="3" name="PivotTable5"/>
    <pivotTable tabId="3" name="PivotTable1"/>
    <pivotTable tabId="3" name="PivotTable2"/>
    <pivotTable tabId="3" name="PivotTable3"/>
  </pivotTables>
  <data>
    <tabular pivotCacheId="1193150909">
      <items count="14">
        <i x="1" s="1"/>
        <i x="2" s="1"/>
        <i x="3" s="1"/>
        <i x="4" s="1"/>
        <i x="5" nd="1"/>
        <i x="6" nd="1"/>
        <i x="7" nd="1"/>
        <i x="8" nd="1"/>
        <i x="9" nd="1"/>
        <i x="10" nd="1"/>
        <i x="11" nd="1"/>
        <i x="12" nd="1"/>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C2E39BEA-327B-4908-9965-E00E700EDEC8}" cache="Slicer_PRODUCT" caption="PRODUCT" startItem="3" rowHeight="234950"/>
  <slicer name="CATEGORY" xr10:uid="{9B2ABA20-97D1-4774-AFD1-B21C3B81E342}" cache="Slicer_CATEGORY" caption="CATEGORY" rowHeight="234950"/>
  <slicer name="REGION" xr10:uid="{DE98AE56-0E7B-407F-96C1-D51EB24B5A5E}" cache="Slicer_REGION" caption="REGION" rowHeight="234950"/>
  <slicer name="Months (ORDER DATE)" xr10:uid="{E87FD15B-98E1-453A-AA14-BD280DF333BF}" cache="Slicer_Months__ORDER_DATE" caption="Months (ORDER 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9BB84F94-C563-4340-B8D7-B2E71FEAB19D}" cache="Slicer_PRODUCT" caption="PRODUCT" startItem="4" rowHeight="234950"/>
  <slicer name="CATEGORY 1" xr10:uid="{07611399-B1A5-4F73-8D3C-1479A2828FE3}" cache="Slicer_CATEGORY" caption="CATEGORY" startItem="1" rowHeight="234950"/>
  <slicer name="REGION 1" xr10:uid="{342DC174-FC0E-42F9-8D94-0E7D3BF6A1C0}" cache="Slicer_REGION" caption="REGION" rowHeight="234950"/>
  <slicer name="Months (ORDER DATE) 1" xr10:uid="{718CA357-68C3-493A-A7B6-210FB8F1AA70}" cache="Slicer_Months__ORDER_DATE" caption="Months (ORDER DAT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FECBC5E-A72C-41C8-AE92-5651F2A12E01}">
  <we:reference id="wa200005502" version="1.0.0.13" store="en-US" storeType="OMEX"/>
  <we:alternateReferences>
    <we:reference id="wa200005502" version="1.0.0.13" store="wa200005502"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9DF31-07DA-4320-BCA8-122D9FBCBC9C}">
  <sheetPr codeName="Sheet2"/>
  <dimension ref="A1:F101"/>
  <sheetViews>
    <sheetView workbookViewId="0">
      <selection activeCell="O7" sqref="O7"/>
    </sheetView>
  </sheetViews>
  <sheetFormatPr defaultRowHeight="14.4" x14ac:dyDescent="0.3"/>
  <cols>
    <col min="1" max="1" width="15.44140625" customWidth="1"/>
    <col min="2" max="2" width="12.109375" customWidth="1"/>
    <col min="3" max="3" width="14.109375" customWidth="1"/>
    <col min="4" max="4" width="11.33203125" customWidth="1"/>
  </cols>
  <sheetData>
    <row r="1" spans="1:6" x14ac:dyDescent="0.3">
      <c r="A1" s="5" t="s">
        <v>0</v>
      </c>
      <c r="B1" s="6" t="s">
        <v>1</v>
      </c>
      <c r="C1" s="6" t="s">
        <v>2</v>
      </c>
      <c r="D1" s="6" t="s">
        <v>3</v>
      </c>
      <c r="E1" s="6" t="s">
        <v>4</v>
      </c>
      <c r="F1" s="7" t="s">
        <v>5</v>
      </c>
    </row>
    <row r="2" spans="1:6" x14ac:dyDescent="0.3">
      <c r="A2" s="8">
        <v>46023</v>
      </c>
      <c r="B2" s="9" t="s">
        <v>6</v>
      </c>
      <c r="C2" s="9" t="s">
        <v>7</v>
      </c>
      <c r="D2" s="9" t="s">
        <v>8</v>
      </c>
      <c r="E2" s="10">
        <v>2500</v>
      </c>
      <c r="F2" s="11">
        <v>300</v>
      </c>
    </row>
    <row r="3" spans="1:6" x14ac:dyDescent="0.3">
      <c r="A3" s="12">
        <v>46024</v>
      </c>
      <c r="B3" s="13" t="s">
        <v>9</v>
      </c>
      <c r="C3" s="13" t="s">
        <v>7</v>
      </c>
      <c r="D3" s="13" t="s">
        <v>10</v>
      </c>
      <c r="E3" s="14">
        <v>2637</v>
      </c>
      <c r="F3" s="15">
        <v>369</v>
      </c>
    </row>
    <row r="4" spans="1:6" x14ac:dyDescent="0.3">
      <c r="A4" s="8">
        <v>46025</v>
      </c>
      <c r="B4" s="9" t="s">
        <v>11</v>
      </c>
      <c r="C4" s="9" t="s">
        <v>12</v>
      </c>
      <c r="D4" s="9" t="s">
        <v>13</v>
      </c>
      <c r="E4" s="10">
        <v>2774</v>
      </c>
      <c r="F4" s="11">
        <v>444</v>
      </c>
    </row>
    <row r="5" spans="1:6" x14ac:dyDescent="0.3">
      <c r="A5" s="12">
        <v>46026</v>
      </c>
      <c r="B5" s="13" t="s">
        <v>14</v>
      </c>
      <c r="C5" s="13" t="s">
        <v>12</v>
      </c>
      <c r="D5" s="13" t="s">
        <v>15</v>
      </c>
      <c r="E5" s="14">
        <v>2911</v>
      </c>
      <c r="F5" s="15">
        <v>524</v>
      </c>
    </row>
    <row r="6" spans="1:6" x14ac:dyDescent="0.3">
      <c r="A6" s="8">
        <v>46027</v>
      </c>
      <c r="B6" s="9" t="s">
        <v>16</v>
      </c>
      <c r="C6" s="9" t="s">
        <v>17</v>
      </c>
      <c r="D6" s="9" t="s">
        <v>18</v>
      </c>
      <c r="E6" s="10">
        <v>3048</v>
      </c>
      <c r="F6" s="11">
        <v>610</v>
      </c>
    </row>
    <row r="7" spans="1:6" x14ac:dyDescent="0.3">
      <c r="A7" s="12">
        <v>46028</v>
      </c>
      <c r="B7" s="13" t="s">
        <v>19</v>
      </c>
      <c r="C7" s="13" t="s">
        <v>17</v>
      </c>
      <c r="D7" s="13" t="s">
        <v>8</v>
      </c>
      <c r="E7" s="14">
        <v>3185</v>
      </c>
      <c r="F7" s="15">
        <v>701</v>
      </c>
    </row>
    <row r="8" spans="1:6" x14ac:dyDescent="0.3">
      <c r="A8" s="8">
        <v>46029</v>
      </c>
      <c r="B8" s="9" t="s">
        <v>20</v>
      </c>
      <c r="C8" s="9" t="s">
        <v>21</v>
      </c>
      <c r="D8" s="9" t="s">
        <v>10</v>
      </c>
      <c r="E8" s="10">
        <v>3322</v>
      </c>
      <c r="F8" s="11">
        <v>797</v>
      </c>
    </row>
    <row r="9" spans="1:6" x14ac:dyDescent="0.3">
      <c r="A9" s="12">
        <v>46030</v>
      </c>
      <c r="B9" s="13" t="s">
        <v>22</v>
      </c>
      <c r="C9" s="13" t="s">
        <v>21</v>
      </c>
      <c r="D9" s="13" t="s">
        <v>13</v>
      </c>
      <c r="E9" s="14">
        <v>3459</v>
      </c>
      <c r="F9" s="15">
        <v>899</v>
      </c>
    </row>
    <row r="10" spans="1:6" x14ac:dyDescent="0.3">
      <c r="A10" s="8">
        <v>46031</v>
      </c>
      <c r="B10" s="9" t="s">
        <v>23</v>
      </c>
      <c r="C10" s="9" t="s">
        <v>7</v>
      </c>
      <c r="D10" s="9" t="s">
        <v>15</v>
      </c>
      <c r="E10" s="10">
        <v>3596</v>
      </c>
      <c r="F10" s="11">
        <v>1007</v>
      </c>
    </row>
    <row r="11" spans="1:6" x14ac:dyDescent="0.3">
      <c r="A11" s="12">
        <v>46032</v>
      </c>
      <c r="B11" s="13" t="s">
        <v>24</v>
      </c>
      <c r="C11" s="13" t="s">
        <v>7</v>
      </c>
      <c r="D11" s="13" t="s">
        <v>18</v>
      </c>
      <c r="E11" s="14">
        <v>3733</v>
      </c>
      <c r="F11" s="15">
        <v>448</v>
      </c>
    </row>
    <row r="12" spans="1:6" x14ac:dyDescent="0.3">
      <c r="A12" s="8">
        <v>46033</v>
      </c>
      <c r="B12" s="9" t="s">
        <v>6</v>
      </c>
      <c r="C12" s="9" t="s">
        <v>7</v>
      </c>
      <c r="D12" s="9" t="s">
        <v>8</v>
      </c>
      <c r="E12" s="10">
        <v>3870</v>
      </c>
      <c r="F12" s="11">
        <v>542</v>
      </c>
    </row>
    <row r="13" spans="1:6" x14ac:dyDescent="0.3">
      <c r="A13" s="12">
        <v>46034</v>
      </c>
      <c r="B13" s="13" t="s">
        <v>9</v>
      </c>
      <c r="C13" s="13" t="s">
        <v>7</v>
      </c>
      <c r="D13" s="13" t="s">
        <v>10</v>
      </c>
      <c r="E13" s="14">
        <v>4007</v>
      </c>
      <c r="F13" s="15">
        <v>641</v>
      </c>
    </row>
    <row r="14" spans="1:6" x14ac:dyDescent="0.3">
      <c r="A14" s="8">
        <v>46035</v>
      </c>
      <c r="B14" s="9" t="s">
        <v>11</v>
      </c>
      <c r="C14" s="9" t="s">
        <v>12</v>
      </c>
      <c r="D14" s="9" t="s">
        <v>13</v>
      </c>
      <c r="E14" s="10">
        <v>4144</v>
      </c>
      <c r="F14" s="11">
        <v>746</v>
      </c>
    </row>
    <row r="15" spans="1:6" x14ac:dyDescent="0.3">
      <c r="A15" s="12">
        <v>46036</v>
      </c>
      <c r="B15" s="13" t="s">
        <v>14</v>
      </c>
      <c r="C15" s="13" t="s">
        <v>12</v>
      </c>
      <c r="D15" s="13" t="s">
        <v>15</v>
      </c>
      <c r="E15" s="14">
        <v>4281</v>
      </c>
      <c r="F15" s="15">
        <v>856</v>
      </c>
    </row>
    <row r="16" spans="1:6" x14ac:dyDescent="0.3">
      <c r="A16" s="8">
        <v>46037</v>
      </c>
      <c r="B16" s="9" t="s">
        <v>16</v>
      </c>
      <c r="C16" s="9" t="s">
        <v>17</v>
      </c>
      <c r="D16" s="9" t="s">
        <v>18</v>
      </c>
      <c r="E16" s="10">
        <v>4418</v>
      </c>
      <c r="F16" s="11">
        <v>972</v>
      </c>
    </row>
    <row r="17" spans="1:6" x14ac:dyDescent="0.3">
      <c r="A17" s="12">
        <v>46038</v>
      </c>
      <c r="B17" s="13" t="s">
        <v>19</v>
      </c>
      <c r="C17" s="13" t="s">
        <v>17</v>
      </c>
      <c r="D17" s="13" t="s">
        <v>8</v>
      </c>
      <c r="E17" s="14">
        <v>4555</v>
      </c>
      <c r="F17" s="15">
        <v>1093</v>
      </c>
    </row>
    <row r="18" spans="1:6" x14ac:dyDescent="0.3">
      <c r="A18" s="8">
        <v>46039</v>
      </c>
      <c r="B18" s="9" t="s">
        <v>20</v>
      </c>
      <c r="C18" s="9" t="s">
        <v>21</v>
      </c>
      <c r="D18" s="9" t="s">
        <v>10</v>
      </c>
      <c r="E18" s="10">
        <v>4692</v>
      </c>
      <c r="F18" s="11">
        <v>1220</v>
      </c>
    </row>
    <row r="19" spans="1:6" x14ac:dyDescent="0.3">
      <c r="A19" s="12">
        <v>46040</v>
      </c>
      <c r="B19" s="13" t="s">
        <v>22</v>
      </c>
      <c r="C19" s="13" t="s">
        <v>21</v>
      </c>
      <c r="D19" s="13" t="s">
        <v>13</v>
      </c>
      <c r="E19" s="14">
        <v>4829</v>
      </c>
      <c r="F19" s="15">
        <v>1352</v>
      </c>
    </row>
    <row r="20" spans="1:6" x14ac:dyDescent="0.3">
      <c r="A20" s="8">
        <v>46041</v>
      </c>
      <c r="B20" s="9" t="s">
        <v>23</v>
      </c>
      <c r="C20" s="9" t="s">
        <v>7</v>
      </c>
      <c r="D20" s="9" t="s">
        <v>15</v>
      </c>
      <c r="E20" s="10">
        <v>4966</v>
      </c>
      <c r="F20" s="11">
        <v>596</v>
      </c>
    </row>
    <row r="21" spans="1:6" x14ac:dyDescent="0.3">
      <c r="A21" s="12">
        <v>46042</v>
      </c>
      <c r="B21" s="13" t="s">
        <v>24</v>
      </c>
      <c r="C21" s="13" t="s">
        <v>7</v>
      </c>
      <c r="D21" s="13" t="s">
        <v>18</v>
      </c>
      <c r="E21" s="14">
        <v>5103</v>
      </c>
      <c r="F21" s="15">
        <v>714</v>
      </c>
    </row>
    <row r="22" spans="1:6" x14ac:dyDescent="0.3">
      <c r="A22" s="8">
        <v>46043</v>
      </c>
      <c r="B22" s="9" t="s">
        <v>6</v>
      </c>
      <c r="C22" s="9" t="s">
        <v>7</v>
      </c>
      <c r="D22" s="9" t="s">
        <v>8</v>
      </c>
      <c r="E22" s="10">
        <v>5240</v>
      </c>
      <c r="F22" s="11">
        <v>838</v>
      </c>
    </row>
    <row r="23" spans="1:6" x14ac:dyDescent="0.3">
      <c r="A23" s="12">
        <v>46044</v>
      </c>
      <c r="B23" s="13" t="s">
        <v>9</v>
      </c>
      <c r="C23" s="13" t="s">
        <v>7</v>
      </c>
      <c r="D23" s="13" t="s">
        <v>10</v>
      </c>
      <c r="E23" s="14">
        <v>5377</v>
      </c>
      <c r="F23" s="15">
        <v>968</v>
      </c>
    </row>
    <row r="24" spans="1:6" x14ac:dyDescent="0.3">
      <c r="A24" s="8">
        <v>46045</v>
      </c>
      <c r="B24" s="9" t="s">
        <v>11</v>
      </c>
      <c r="C24" s="9" t="s">
        <v>12</v>
      </c>
      <c r="D24" s="9" t="s">
        <v>13</v>
      </c>
      <c r="E24" s="10">
        <v>5514</v>
      </c>
      <c r="F24" s="11">
        <v>1103</v>
      </c>
    </row>
    <row r="25" spans="1:6" x14ac:dyDescent="0.3">
      <c r="A25" s="12">
        <v>46046</v>
      </c>
      <c r="B25" s="13" t="s">
        <v>14</v>
      </c>
      <c r="C25" s="13" t="s">
        <v>12</v>
      </c>
      <c r="D25" s="13" t="s">
        <v>15</v>
      </c>
      <c r="E25" s="14">
        <v>5651</v>
      </c>
      <c r="F25" s="15">
        <v>1243</v>
      </c>
    </row>
    <row r="26" spans="1:6" x14ac:dyDescent="0.3">
      <c r="A26" s="8">
        <v>46047</v>
      </c>
      <c r="B26" s="9" t="s">
        <v>16</v>
      </c>
      <c r="C26" s="9" t="s">
        <v>17</v>
      </c>
      <c r="D26" s="9" t="s">
        <v>18</v>
      </c>
      <c r="E26" s="10">
        <v>5788</v>
      </c>
      <c r="F26" s="11">
        <v>1389</v>
      </c>
    </row>
    <row r="27" spans="1:6" x14ac:dyDescent="0.3">
      <c r="A27" s="12">
        <v>46048</v>
      </c>
      <c r="B27" s="13" t="s">
        <v>19</v>
      </c>
      <c r="C27" s="13" t="s">
        <v>17</v>
      </c>
      <c r="D27" s="13" t="s">
        <v>8</v>
      </c>
      <c r="E27" s="14">
        <v>5925</v>
      </c>
      <c r="F27" s="15">
        <v>1541</v>
      </c>
    </row>
    <row r="28" spans="1:6" x14ac:dyDescent="0.3">
      <c r="A28" s="8">
        <v>46049</v>
      </c>
      <c r="B28" s="9" t="s">
        <v>20</v>
      </c>
      <c r="C28" s="9" t="s">
        <v>21</v>
      </c>
      <c r="D28" s="9" t="s">
        <v>10</v>
      </c>
      <c r="E28" s="10">
        <v>6062</v>
      </c>
      <c r="F28" s="11">
        <v>1697</v>
      </c>
    </row>
    <row r="29" spans="1:6" x14ac:dyDescent="0.3">
      <c r="A29" s="12">
        <v>46050</v>
      </c>
      <c r="B29" s="13" t="s">
        <v>22</v>
      </c>
      <c r="C29" s="13" t="s">
        <v>21</v>
      </c>
      <c r="D29" s="13" t="s">
        <v>13</v>
      </c>
      <c r="E29" s="14">
        <v>6199</v>
      </c>
      <c r="F29" s="15">
        <v>744</v>
      </c>
    </row>
    <row r="30" spans="1:6" x14ac:dyDescent="0.3">
      <c r="A30" s="8">
        <v>46051</v>
      </c>
      <c r="B30" s="9" t="s">
        <v>23</v>
      </c>
      <c r="C30" s="9" t="s">
        <v>7</v>
      </c>
      <c r="D30" s="9" t="s">
        <v>15</v>
      </c>
      <c r="E30" s="10">
        <v>6336</v>
      </c>
      <c r="F30" s="11">
        <v>887</v>
      </c>
    </row>
    <row r="31" spans="1:6" x14ac:dyDescent="0.3">
      <c r="A31" s="12">
        <v>46052</v>
      </c>
      <c r="B31" s="13" t="s">
        <v>24</v>
      </c>
      <c r="C31" s="13" t="s">
        <v>7</v>
      </c>
      <c r="D31" s="13" t="s">
        <v>18</v>
      </c>
      <c r="E31" s="14">
        <v>6473</v>
      </c>
      <c r="F31" s="15">
        <v>1036</v>
      </c>
    </row>
    <row r="32" spans="1:6" x14ac:dyDescent="0.3">
      <c r="A32" s="8">
        <v>46053</v>
      </c>
      <c r="B32" s="9" t="s">
        <v>6</v>
      </c>
      <c r="C32" s="9" t="s">
        <v>7</v>
      </c>
      <c r="D32" s="9" t="s">
        <v>8</v>
      </c>
      <c r="E32" s="10">
        <v>6610</v>
      </c>
      <c r="F32" s="11">
        <v>1190</v>
      </c>
    </row>
    <row r="33" spans="1:6" x14ac:dyDescent="0.3">
      <c r="A33" s="12">
        <v>46054</v>
      </c>
      <c r="B33" s="13" t="s">
        <v>9</v>
      </c>
      <c r="C33" s="13" t="s">
        <v>7</v>
      </c>
      <c r="D33" s="13" t="s">
        <v>10</v>
      </c>
      <c r="E33" s="14">
        <v>6747</v>
      </c>
      <c r="F33" s="15">
        <v>1349</v>
      </c>
    </row>
    <row r="34" spans="1:6" x14ac:dyDescent="0.3">
      <c r="A34" s="8">
        <v>46055</v>
      </c>
      <c r="B34" s="9" t="s">
        <v>11</v>
      </c>
      <c r="C34" s="9" t="s">
        <v>12</v>
      </c>
      <c r="D34" s="9" t="s">
        <v>13</v>
      </c>
      <c r="E34" s="10">
        <v>6884</v>
      </c>
      <c r="F34" s="11">
        <v>1514</v>
      </c>
    </row>
    <row r="35" spans="1:6" x14ac:dyDescent="0.3">
      <c r="A35" s="12">
        <v>46056</v>
      </c>
      <c r="B35" s="13" t="s">
        <v>14</v>
      </c>
      <c r="C35" s="13" t="s">
        <v>12</v>
      </c>
      <c r="D35" s="13" t="s">
        <v>15</v>
      </c>
      <c r="E35" s="14">
        <v>7021</v>
      </c>
      <c r="F35" s="15">
        <v>1685</v>
      </c>
    </row>
    <row r="36" spans="1:6" x14ac:dyDescent="0.3">
      <c r="A36" s="8">
        <v>46057</v>
      </c>
      <c r="B36" s="9" t="s">
        <v>16</v>
      </c>
      <c r="C36" s="9" t="s">
        <v>17</v>
      </c>
      <c r="D36" s="9" t="s">
        <v>18</v>
      </c>
      <c r="E36" s="10">
        <v>7158</v>
      </c>
      <c r="F36" s="11">
        <v>1861</v>
      </c>
    </row>
    <row r="37" spans="1:6" x14ac:dyDescent="0.3">
      <c r="A37" s="12">
        <v>46058</v>
      </c>
      <c r="B37" s="13" t="s">
        <v>19</v>
      </c>
      <c r="C37" s="13" t="s">
        <v>17</v>
      </c>
      <c r="D37" s="13" t="s">
        <v>8</v>
      </c>
      <c r="E37" s="14">
        <v>7295</v>
      </c>
      <c r="F37" s="15">
        <v>2043</v>
      </c>
    </row>
    <row r="38" spans="1:6" x14ac:dyDescent="0.3">
      <c r="A38" s="8">
        <v>46059</v>
      </c>
      <c r="B38" s="9" t="s">
        <v>20</v>
      </c>
      <c r="C38" s="9" t="s">
        <v>21</v>
      </c>
      <c r="D38" s="9" t="s">
        <v>10</v>
      </c>
      <c r="E38" s="10">
        <v>7432</v>
      </c>
      <c r="F38" s="11">
        <v>892</v>
      </c>
    </row>
    <row r="39" spans="1:6" x14ac:dyDescent="0.3">
      <c r="A39" s="12">
        <v>46060</v>
      </c>
      <c r="B39" s="13" t="s">
        <v>22</v>
      </c>
      <c r="C39" s="13" t="s">
        <v>21</v>
      </c>
      <c r="D39" s="13" t="s">
        <v>13</v>
      </c>
      <c r="E39" s="14">
        <v>7569</v>
      </c>
      <c r="F39" s="15">
        <v>1060</v>
      </c>
    </row>
    <row r="40" spans="1:6" x14ac:dyDescent="0.3">
      <c r="A40" s="8">
        <v>46061</v>
      </c>
      <c r="B40" s="9" t="s">
        <v>23</v>
      </c>
      <c r="C40" s="9" t="s">
        <v>7</v>
      </c>
      <c r="D40" s="9" t="s">
        <v>15</v>
      </c>
      <c r="E40" s="10">
        <v>7706</v>
      </c>
      <c r="F40" s="11">
        <v>1233</v>
      </c>
    </row>
    <row r="41" spans="1:6" x14ac:dyDescent="0.3">
      <c r="A41" s="12">
        <v>46062</v>
      </c>
      <c r="B41" s="13" t="s">
        <v>24</v>
      </c>
      <c r="C41" s="13" t="s">
        <v>7</v>
      </c>
      <c r="D41" s="13" t="s">
        <v>18</v>
      </c>
      <c r="E41" s="14">
        <v>7843</v>
      </c>
      <c r="F41" s="15">
        <v>1412</v>
      </c>
    </row>
    <row r="42" spans="1:6" x14ac:dyDescent="0.3">
      <c r="A42" s="8">
        <v>46063</v>
      </c>
      <c r="B42" s="9" t="s">
        <v>6</v>
      </c>
      <c r="C42" s="9" t="s">
        <v>7</v>
      </c>
      <c r="D42" s="9" t="s">
        <v>8</v>
      </c>
      <c r="E42" s="10">
        <v>7980</v>
      </c>
      <c r="F42" s="11">
        <v>1596</v>
      </c>
    </row>
    <row r="43" spans="1:6" x14ac:dyDescent="0.3">
      <c r="A43" s="12">
        <v>46064</v>
      </c>
      <c r="B43" s="13" t="s">
        <v>9</v>
      </c>
      <c r="C43" s="13" t="s">
        <v>7</v>
      </c>
      <c r="D43" s="13" t="s">
        <v>10</v>
      </c>
      <c r="E43" s="14">
        <v>8117</v>
      </c>
      <c r="F43" s="15">
        <v>1786</v>
      </c>
    </row>
    <row r="44" spans="1:6" x14ac:dyDescent="0.3">
      <c r="A44" s="8">
        <v>46065</v>
      </c>
      <c r="B44" s="9" t="s">
        <v>11</v>
      </c>
      <c r="C44" s="9" t="s">
        <v>12</v>
      </c>
      <c r="D44" s="9" t="s">
        <v>13</v>
      </c>
      <c r="E44" s="10">
        <v>8254</v>
      </c>
      <c r="F44" s="11">
        <v>1981</v>
      </c>
    </row>
    <row r="45" spans="1:6" x14ac:dyDescent="0.3">
      <c r="A45" s="12">
        <v>46066</v>
      </c>
      <c r="B45" s="13" t="s">
        <v>14</v>
      </c>
      <c r="C45" s="13" t="s">
        <v>12</v>
      </c>
      <c r="D45" s="13" t="s">
        <v>15</v>
      </c>
      <c r="E45" s="14">
        <v>8391</v>
      </c>
      <c r="F45" s="15">
        <v>2182</v>
      </c>
    </row>
    <row r="46" spans="1:6" x14ac:dyDescent="0.3">
      <c r="A46" s="8">
        <v>46067</v>
      </c>
      <c r="B46" s="9" t="s">
        <v>16</v>
      </c>
      <c r="C46" s="9" t="s">
        <v>17</v>
      </c>
      <c r="D46" s="9" t="s">
        <v>18</v>
      </c>
      <c r="E46" s="10">
        <v>8528</v>
      </c>
      <c r="F46" s="11">
        <v>2388</v>
      </c>
    </row>
    <row r="47" spans="1:6" x14ac:dyDescent="0.3">
      <c r="A47" s="12">
        <v>46068</v>
      </c>
      <c r="B47" s="13" t="s">
        <v>19</v>
      </c>
      <c r="C47" s="13" t="s">
        <v>17</v>
      </c>
      <c r="D47" s="13" t="s">
        <v>8</v>
      </c>
      <c r="E47" s="14">
        <v>8665</v>
      </c>
      <c r="F47" s="15">
        <v>1040</v>
      </c>
    </row>
    <row r="48" spans="1:6" x14ac:dyDescent="0.3">
      <c r="A48" s="8">
        <v>46069</v>
      </c>
      <c r="B48" s="9" t="s">
        <v>20</v>
      </c>
      <c r="C48" s="9" t="s">
        <v>21</v>
      </c>
      <c r="D48" s="9" t="s">
        <v>10</v>
      </c>
      <c r="E48" s="10">
        <v>8802</v>
      </c>
      <c r="F48" s="11">
        <v>1232</v>
      </c>
    </row>
    <row r="49" spans="1:6" x14ac:dyDescent="0.3">
      <c r="A49" s="12">
        <v>46070</v>
      </c>
      <c r="B49" s="13" t="s">
        <v>22</v>
      </c>
      <c r="C49" s="13" t="s">
        <v>21</v>
      </c>
      <c r="D49" s="13" t="s">
        <v>13</v>
      </c>
      <c r="E49" s="14">
        <v>8939</v>
      </c>
      <c r="F49" s="15">
        <v>1430</v>
      </c>
    </row>
    <row r="50" spans="1:6" x14ac:dyDescent="0.3">
      <c r="A50" s="8">
        <v>46071</v>
      </c>
      <c r="B50" s="9" t="s">
        <v>23</v>
      </c>
      <c r="C50" s="9" t="s">
        <v>7</v>
      </c>
      <c r="D50" s="9" t="s">
        <v>15</v>
      </c>
      <c r="E50" s="10">
        <v>9076</v>
      </c>
      <c r="F50" s="11">
        <v>1634</v>
      </c>
    </row>
    <row r="51" spans="1:6" x14ac:dyDescent="0.3">
      <c r="A51" s="12">
        <v>46072</v>
      </c>
      <c r="B51" s="13" t="s">
        <v>24</v>
      </c>
      <c r="C51" s="13" t="s">
        <v>7</v>
      </c>
      <c r="D51" s="13" t="s">
        <v>18</v>
      </c>
      <c r="E51" s="14">
        <v>9213</v>
      </c>
      <c r="F51" s="15">
        <v>1843</v>
      </c>
    </row>
    <row r="52" spans="1:6" x14ac:dyDescent="0.3">
      <c r="A52" s="8">
        <v>46073</v>
      </c>
      <c r="B52" s="9" t="s">
        <v>6</v>
      </c>
      <c r="C52" s="9" t="s">
        <v>7</v>
      </c>
      <c r="D52" s="9" t="s">
        <v>8</v>
      </c>
      <c r="E52" s="10">
        <v>9350</v>
      </c>
      <c r="F52" s="11">
        <v>2057</v>
      </c>
    </row>
    <row r="53" spans="1:6" x14ac:dyDescent="0.3">
      <c r="A53" s="12">
        <v>46074</v>
      </c>
      <c r="B53" s="13" t="s">
        <v>9</v>
      </c>
      <c r="C53" s="13" t="s">
        <v>7</v>
      </c>
      <c r="D53" s="13" t="s">
        <v>10</v>
      </c>
      <c r="E53" s="14">
        <v>9487</v>
      </c>
      <c r="F53" s="15">
        <v>2277</v>
      </c>
    </row>
    <row r="54" spans="1:6" x14ac:dyDescent="0.3">
      <c r="A54" s="8">
        <v>46075</v>
      </c>
      <c r="B54" s="9" t="s">
        <v>11</v>
      </c>
      <c r="C54" s="9" t="s">
        <v>12</v>
      </c>
      <c r="D54" s="9" t="s">
        <v>13</v>
      </c>
      <c r="E54" s="10">
        <v>9624</v>
      </c>
      <c r="F54" s="11">
        <v>2502</v>
      </c>
    </row>
    <row r="55" spans="1:6" x14ac:dyDescent="0.3">
      <c r="A55" s="12">
        <v>46076</v>
      </c>
      <c r="B55" s="13" t="s">
        <v>14</v>
      </c>
      <c r="C55" s="13" t="s">
        <v>12</v>
      </c>
      <c r="D55" s="13" t="s">
        <v>15</v>
      </c>
      <c r="E55" s="14">
        <v>9761</v>
      </c>
      <c r="F55" s="15">
        <v>2733</v>
      </c>
    </row>
    <row r="56" spans="1:6" x14ac:dyDescent="0.3">
      <c r="A56" s="8">
        <v>46077</v>
      </c>
      <c r="B56" s="9" t="s">
        <v>16</v>
      </c>
      <c r="C56" s="9" t="s">
        <v>17</v>
      </c>
      <c r="D56" s="9" t="s">
        <v>18</v>
      </c>
      <c r="E56" s="10">
        <v>9898</v>
      </c>
      <c r="F56" s="11">
        <v>1188</v>
      </c>
    </row>
    <row r="57" spans="1:6" x14ac:dyDescent="0.3">
      <c r="A57" s="12">
        <v>46078</v>
      </c>
      <c r="B57" s="13" t="s">
        <v>19</v>
      </c>
      <c r="C57" s="13" t="s">
        <v>17</v>
      </c>
      <c r="D57" s="13" t="s">
        <v>8</v>
      </c>
      <c r="E57" s="14">
        <v>10035</v>
      </c>
      <c r="F57" s="15">
        <v>1405</v>
      </c>
    </row>
    <row r="58" spans="1:6" x14ac:dyDescent="0.3">
      <c r="A58" s="8">
        <v>46079</v>
      </c>
      <c r="B58" s="9" t="s">
        <v>20</v>
      </c>
      <c r="C58" s="9" t="s">
        <v>21</v>
      </c>
      <c r="D58" s="9" t="s">
        <v>10</v>
      </c>
      <c r="E58" s="10">
        <v>10172</v>
      </c>
      <c r="F58" s="11">
        <v>1628</v>
      </c>
    </row>
    <row r="59" spans="1:6" x14ac:dyDescent="0.3">
      <c r="A59" s="12">
        <v>46080</v>
      </c>
      <c r="B59" s="13" t="s">
        <v>22</v>
      </c>
      <c r="C59" s="13" t="s">
        <v>21</v>
      </c>
      <c r="D59" s="13" t="s">
        <v>13</v>
      </c>
      <c r="E59" s="14">
        <v>10309</v>
      </c>
      <c r="F59" s="15">
        <v>1856</v>
      </c>
    </row>
    <row r="60" spans="1:6" x14ac:dyDescent="0.3">
      <c r="A60" s="8">
        <v>46081</v>
      </c>
      <c r="B60" s="9" t="s">
        <v>23</v>
      </c>
      <c r="C60" s="9" t="s">
        <v>7</v>
      </c>
      <c r="D60" s="9" t="s">
        <v>15</v>
      </c>
      <c r="E60" s="10">
        <v>10446</v>
      </c>
      <c r="F60" s="11">
        <v>2089</v>
      </c>
    </row>
    <row r="61" spans="1:6" x14ac:dyDescent="0.3">
      <c r="A61" s="12">
        <v>46082</v>
      </c>
      <c r="B61" s="13" t="s">
        <v>24</v>
      </c>
      <c r="C61" s="13" t="s">
        <v>7</v>
      </c>
      <c r="D61" s="13" t="s">
        <v>18</v>
      </c>
      <c r="E61" s="14">
        <v>10583</v>
      </c>
      <c r="F61" s="15">
        <v>2328</v>
      </c>
    </row>
    <row r="62" spans="1:6" x14ac:dyDescent="0.3">
      <c r="A62" s="8">
        <v>46083</v>
      </c>
      <c r="B62" s="9" t="s">
        <v>6</v>
      </c>
      <c r="C62" s="9" t="s">
        <v>7</v>
      </c>
      <c r="D62" s="9" t="s">
        <v>8</v>
      </c>
      <c r="E62" s="10">
        <v>10720</v>
      </c>
      <c r="F62" s="11">
        <v>2573</v>
      </c>
    </row>
    <row r="63" spans="1:6" x14ac:dyDescent="0.3">
      <c r="A63" s="12">
        <v>46084</v>
      </c>
      <c r="B63" s="13" t="s">
        <v>9</v>
      </c>
      <c r="C63" s="13" t="s">
        <v>7</v>
      </c>
      <c r="D63" s="13" t="s">
        <v>10</v>
      </c>
      <c r="E63" s="14">
        <v>10857</v>
      </c>
      <c r="F63" s="15">
        <v>2823</v>
      </c>
    </row>
    <row r="64" spans="1:6" x14ac:dyDescent="0.3">
      <c r="A64" s="8">
        <v>46085</v>
      </c>
      <c r="B64" s="9" t="s">
        <v>11</v>
      </c>
      <c r="C64" s="9" t="s">
        <v>12</v>
      </c>
      <c r="D64" s="9" t="s">
        <v>13</v>
      </c>
      <c r="E64" s="10">
        <v>10994</v>
      </c>
      <c r="F64" s="11">
        <v>3078</v>
      </c>
    </row>
    <row r="65" spans="1:6" x14ac:dyDescent="0.3">
      <c r="A65" s="12">
        <v>46086</v>
      </c>
      <c r="B65" s="13" t="s">
        <v>14</v>
      </c>
      <c r="C65" s="13" t="s">
        <v>12</v>
      </c>
      <c r="D65" s="13" t="s">
        <v>15</v>
      </c>
      <c r="E65" s="14">
        <v>11131</v>
      </c>
      <c r="F65" s="15">
        <v>1336</v>
      </c>
    </row>
    <row r="66" spans="1:6" x14ac:dyDescent="0.3">
      <c r="A66" s="8">
        <v>46087</v>
      </c>
      <c r="B66" s="9" t="s">
        <v>16</v>
      </c>
      <c r="C66" s="9" t="s">
        <v>17</v>
      </c>
      <c r="D66" s="9" t="s">
        <v>18</v>
      </c>
      <c r="E66" s="10">
        <v>11268</v>
      </c>
      <c r="F66" s="11">
        <v>1578</v>
      </c>
    </row>
    <row r="67" spans="1:6" x14ac:dyDescent="0.3">
      <c r="A67" s="12">
        <v>46088</v>
      </c>
      <c r="B67" s="13" t="s">
        <v>19</v>
      </c>
      <c r="C67" s="13" t="s">
        <v>17</v>
      </c>
      <c r="D67" s="13" t="s">
        <v>8</v>
      </c>
      <c r="E67" s="14">
        <v>11405</v>
      </c>
      <c r="F67" s="15">
        <v>1825</v>
      </c>
    </row>
    <row r="68" spans="1:6" x14ac:dyDescent="0.3">
      <c r="A68" s="8">
        <v>46089</v>
      </c>
      <c r="B68" s="9" t="s">
        <v>20</v>
      </c>
      <c r="C68" s="9" t="s">
        <v>21</v>
      </c>
      <c r="D68" s="9" t="s">
        <v>10</v>
      </c>
      <c r="E68" s="10">
        <v>11542</v>
      </c>
      <c r="F68" s="11">
        <v>2078</v>
      </c>
    </row>
    <row r="69" spans="1:6" x14ac:dyDescent="0.3">
      <c r="A69" s="12">
        <v>46090</v>
      </c>
      <c r="B69" s="13" t="s">
        <v>22</v>
      </c>
      <c r="C69" s="13" t="s">
        <v>21</v>
      </c>
      <c r="D69" s="13" t="s">
        <v>13</v>
      </c>
      <c r="E69" s="14">
        <v>11679</v>
      </c>
      <c r="F69" s="15">
        <v>2336</v>
      </c>
    </row>
    <row r="70" spans="1:6" x14ac:dyDescent="0.3">
      <c r="A70" s="8">
        <v>46091</v>
      </c>
      <c r="B70" s="9" t="s">
        <v>23</v>
      </c>
      <c r="C70" s="9" t="s">
        <v>7</v>
      </c>
      <c r="D70" s="9" t="s">
        <v>15</v>
      </c>
      <c r="E70" s="10">
        <v>11816</v>
      </c>
      <c r="F70" s="11">
        <v>2600</v>
      </c>
    </row>
    <row r="71" spans="1:6" x14ac:dyDescent="0.3">
      <c r="A71" s="12">
        <v>46092</v>
      </c>
      <c r="B71" s="13" t="s">
        <v>24</v>
      </c>
      <c r="C71" s="13" t="s">
        <v>7</v>
      </c>
      <c r="D71" s="13" t="s">
        <v>18</v>
      </c>
      <c r="E71" s="14">
        <v>11953</v>
      </c>
      <c r="F71" s="15">
        <v>2869</v>
      </c>
    </row>
    <row r="72" spans="1:6" x14ac:dyDescent="0.3">
      <c r="A72" s="8">
        <v>46093</v>
      </c>
      <c r="B72" s="9" t="s">
        <v>6</v>
      </c>
      <c r="C72" s="9" t="s">
        <v>7</v>
      </c>
      <c r="D72" s="9" t="s">
        <v>8</v>
      </c>
      <c r="E72" s="10">
        <v>12090</v>
      </c>
      <c r="F72" s="11">
        <v>3143</v>
      </c>
    </row>
    <row r="73" spans="1:6" x14ac:dyDescent="0.3">
      <c r="A73" s="12">
        <v>46094</v>
      </c>
      <c r="B73" s="13" t="s">
        <v>9</v>
      </c>
      <c r="C73" s="13" t="s">
        <v>7</v>
      </c>
      <c r="D73" s="13" t="s">
        <v>10</v>
      </c>
      <c r="E73" s="14">
        <v>12227</v>
      </c>
      <c r="F73" s="15">
        <v>3424</v>
      </c>
    </row>
    <row r="74" spans="1:6" x14ac:dyDescent="0.3">
      <c r="A74" s="8">
        <v>46095</v>
      </c>
      <c r="B74" s="9" t="s">
        <v>11</v>
      </c>
      <c r="C74" s="9" t="s">
        <v>12</v>
      </c>
      <c r="D74" s="9" t="s">
        <v>13</v>
      </c>
      <c r="E74" s="10">
        <v>12364</v>
      </c>
      <c r="F74" s="11">
        <v>1484</v>
      </c>
    </row>
    <row r="75" spans="1:6" x14ac:dyDescent="0.3">
      <c r="A75" s="12">
        <v>46096</v>
      </c>
      <c r="B75" s="13" t="s">
        <v>14</v>
      </c>
      <c r="C75" s="13" t="s">
        <v>12</v>
      </c>
      <c r="D75" s="13" t="s">
        <v>15</v>
      </c>
      <c r="E75" s="14">
        <v>12501</v>
      </c>
      <c r="F75" s="15">
        <v>1750</v>
      </c>
    </row>
    <row r="76" spans="1:6" x14ac:dyDescent="0.3">
      <c r="A76" s="8">
        <v>46097</v>
      </c>
      <c r="B76" s="9" t="s">
        <v>16</v>
      </c>
      <c r="C76" s="9" t="s">
        <v>17</v>
      </c>
      <c r="D76" s="9" t="s">
        <v>18</v>
      </c>
      <c r="E76" s="10">
        <v>12638</v>
      </c>
      <c r="F76" s="11">
        <v>2022</v>
      </c>
    </row>
    <row r="77" spans="1:6" x14ac:dyDescent="0.3">
      <c r="A77" s="12">
        <v>46098</v>
      </c>
      <c r="B77" s="13" t="s">
        <v>19</v>
      </c>
      <c r="C77" s="13" t="s">
        <v>17</v>
      </c>
      <c r="D77" s="13" t="s">
        <v>8</v>
      </c>
      <c r="E77" s="14">
        <v>12775</v>
      </c>
      <c r="F77" s="15">
        <v>2300</v>
      </c>
    </row>
    <row r="78" spans="1:6" x14ac:dyDescent="0.3">
      <c r="A78" s="8">
        <v>46099</v>
      </c>
      <c r="B78" s="9" t="s">
        <v>20</v>
      </c>
      <c r="C78" s="9" t="s">
        <v>21</v>
      </c>
      <c r="D78" s="9" t="s">
        <v>10</v>
      </c>
      <c r="E78" s="10">
        <v>12912</v>
      </c>
      <c r="F78" s="11">
        <v>2582</v>
      </c>
    </row>
    <row r="79" spans="1:6" x14ac:dyDescent="0.3">
      <c r="A79" s="12">
        <v>46100</v>
      </c>
      <c r="B79" s="13" t="s">
        <v>22</v>
      </c>
      <c r="C79" s="13" t="s">
        <v>21</v>
      </c>
      <c r="D79" s="13" t="s">
        <v>13</v>
      </c>
      <c r="E79" s="14">
        <v>13049</v>
      </c>
      <c r="F79" s="15">
        <v>2871</v>
      </c>
    </row>
    <row r="80" spans="1:6" x14ac:dyDescent="0.3">
      <c r="A80" s="8">
        <v>46101</v>
      </c>
      <c r="B80" s="9" t="s">
        <v>23</v>
      </c>
      <c r="C80" s="9" t="s">
        <v>7</v>
      </c>
      <c r="D80" s="9" t="s">
        <v>15</v>
      </c>
      <c r="E80" s="10">
        <v>13186</v>
      </c>
      <c r="F80" s="11">
        <v>3165</v>
      </c>
    </row>
    <row r="81" spans="1:6" x14ac:dyDescent="0.3">
      <c r="A81" s="12">
        <v>46102</v>
      </c>
      <c r="B81" s="13" t="s">
        <v>24</v>
      </c>
      <c r="C81" s="13" t="s">
        <v>7</v>
      </c>
      <c r="D81" s="13" t="s">
        <v>18</v>
      </c>
      <c r="E81" s="14">
        <v>13323</v>
      </c>
      <c r="F81" s="15">
        <v>3464</v>
      </c>
    </row>
    <row r="82" spans="1:6" x14ac:dyDescent="0.3">
      <c r="A82" s="8">
        <v>46103</v>
      </c>
      <c r="B82" s="9" t="s">
        <v>6</v>
      </c>
      <c r="C82" s="9" t="s">
        <v>7</v>
      </c>
      <c r="D82" s="9" t="s">
        <v>8</v>
      </c>
      <c r="E82" s="10">
        <v>13460</v>
      </c>
      <c r="F82" s="11">
        <v>3769</v>
      </c>
    </row>
    <row r="83" spans="1:6" x14ac:dyDescent="0.3">
      <c r="A83" s="12">
        <v>46104</v>
      </c>
      <c r="B83" s="13" t="s">
        <v>9</v>
      </c>
      <c r="C83" s="13" t="s">
        <v>7</v>
      </c>
      <c r="D83" s="13" t="s">
        <v>10</v>
      </c>
      <c r="E83" s="14">
        <v>13597</v>
      </c>
      <c r="F83" s="15">
        <v>1632</v>
      </c>
    </row>
    <row r="84" spans="1:6" x14ac:dyDescent="0.3">
      <c r="A84" s="8">
        <v>46105</v>
      </c>
      <c r="B84" s="9" t="s">
        <v>11</v>
      </c>
      <c r="C84" s="9" t="s">
        <v>12</v>
      </c>
      <c r="D84" s="9" t="s">
        <v>13</v>
      </c>
      <c r="E84" s="10">
        <v>13734</v>
      </c>
      <c r="F84" s="11">
        <v>1923</v>
      </c>
    </row>
    <row r="85" spans="1:6" x14ac:dyDescent="0.3">
      <c r="A85" s="12">
        <v>46106</v>
      </c>
      <c r="B85" s="13" t="s">
        <v>14</v>
      </c>
      <c r="C85" s="13" t="s">
        <v>12</v>
      </c>
      <c r="D85" s="13" t="s">
        <v>15</v>
      </c>
      <c r="E85" s="14">
        <v>13871</v>
      </c>
      <c r="F85" s="15">
        <v>2219</v>
      </c>
    </row>
    <row r="86" spans="1:6" x14ac:dyDescent="0.3">
      <c r="A86" s="8">
        <v>46107</v>
      </c>
      <c r="B86" s="9" t="s">
        <v>16</v>
      </c>
      <c r="C86" s="9" t="s">
        <v>17</v>
      </c>
      <c r="D86" s="9" t="s">
        <v>18</v>
      </c>
      <c r="E86" s="10">
        <v>14008</v>
      </c>
      <c r="F86" s="11">
        <v>2521</v>
      </c>
    </row>
    <row r="87" spans="1:6" x14ac:dyDescent="0.3">
      <c r="A87" s="12">
        <v>46108</v>
      </c>
      <c r="B87" s="13" t="s">
        <v>19</v>
      </c>
      <c r="C87" s="13" t="s">
        <v>17</v>
      </c>
      <c r="D87" s="13" t="s">
        <v>8</v>
      </c>
      <c r="E87" s="14">
        <v>14145</v>
      </c>
      <c r="F87" s="15">
        <v>2829</v>
      </c>
    </row>
    <row r="88" spans="1:6" x14ac:dyDescent="0.3">
      <c r="A88" s="8">
        <v>46109</v>
      </c>
      <c r="B88" s="9" t="s">
        <v>20</v>
      </c>
      <c r="C88" s="9" t="s">
        <v>21</v>
      </c>
      <c r="D88" s="9" t="s">
        <v>10</v>
      </c>
      <c r="E88" s="10">
        <v>14282</v>
      </c>
      <c r="F88" s="11">
        <v>3142</v>
      </c>
    </row>
    <row r="89" spans="1:6" x14ac:dyDescent="0.3">
      <c r="A89" s="12">
        <v>46110</v>
      </c>
      <c r="B89" s="13" t="s">
        <v>22</v>
      </c>
      <c r="C89" s="13" t="s">
        <v>21</v>
      </c>
      <c r="D89" s="13" t="s">
        <v>13</v>
      </c>
      <c r="E89" s="14">
        <v>14419</v>
      </c>
      <c r="F89" s="15">
        <v>3461</v>
      </c>
    </row>
    <row r="90" spans="1:6" x14ac:dyDescent="0.3">
      <c r="A90" s="8">
        <v>46111</v>
      </c>
      <c r="B90" s="9" t="s">
        <v>23</v>
      </c>
      <c r="C90" s="9" t="s">
        <v>7</v>
      </c>
      <c r="D90" s="9" t="s">
        <v>15</v>
      </c>
      <c r="E90" s="10">
        <v>14556</v>
      </c>
      <c r="F90" s="11">
        <v>3785</v>
      </c>
    </row>
    <row r="91" spans="1:6" x14ac:dyDescent="0.3">
      <c r="A91" s="12">
        <v>46112</v>
      </c>
      <c r="B91" s="13" t="s">
        <v>24</v>
      </c>
      <c r="C91" s="13" t="s">
        <v>7</v>
      </c>
      <c r="D91" s="13" t="s">
        <v>18</v>
      </c>
      <c r="E91" s="14">
        <v>14693</v>
      </c>
      <c r="F91" s="15">
        <v>4114</v>
      </c>
    </row>
    <row r="92" spans="1:6" x14ac:dyDescent="0.3">
      <c r="A92" s="8">
        <v>46113</v>
      </c>
      <c r="B92" s="9" t="s">
        <v>6</v>
      </c>
      <c r="C92" s="9" t="s">
        <v>7</v>
      </c>
      <c r="D92" s="9" t="s">
        <v>8</v>
      </c>
      <c r="E92" s="10">
        <v>14830</v>
      </c>
      <c r="F92" s="11">
        <v>1780</v>
      </c>
    </row>
    <row r="93" spans="1:6" x14ac:dyDescent="0.3">
      <c r="A93" s="12">
        <v>46114</v>
      </c>
      <c r="B93" s="13" t="s">
        <v>9</v>
      </c>
      <c r="C93" s="13" t="s">
        <v>7</v>
      </c>
      <c r="D93" s="13" t="s">
        <v>10</v>
      </c>
      <c r="E93" s="14">
        <v>14967</v>
      </c>
      <c r="F93" s="15">
        <v>2095</v>
      </c>
    </row>
    <row r="94" spans="1:6" x14ac:dyDescent="0.3">
      <c r="A94" s="8">
        <v>46115</v>
      </c>
      <c r="B94" s="9" t="s">
        <v>11</v>
      </c>
      <c r="C94" s="9" t="s">
        <v>12</v>
      </c>
      <c r="D94" s="9" t="s">
        <v>13</v>
      </c>
      <c r="E94" s="10">
        <v>15104</v>
      </c>
      <c r="F94" s="11">
        <v>2417</v>
      </c>
    </row>
    <row r="95" spans="1:6" x14ac:dyDescent="0.3">
      <c r="A95" s="12">
        <v>46116</v>
      </c>
      <c r="B95" s="13" t="s">
        <v>14</v>
      </c>
      <c r="C95" s="13" t="s">
        <v>12</v>
      </c>
      <c r="D95" s="13" t="s">
        <v>15</v>
      </c>
      <c r="E95" s="14">
        <v>15241</v>
      </c>
      <c r="F95" s="15">
        <v>2743</v>
      </c>
    </row>
    <row r="96" spans="1:6" x14ac:dyDescent="0.3">
      <c r="A96" s="8">
        <v>46117</v>
      </c>
      <c r="B96" s="9" t="s">
        <v>16</v>
      </c>
      <c r="C96" s="9" t="s">
        <v>17</v>
      </c>
      <c r="D96" s="9" t="s">
        <v>18</v>
      </c>
      <c r="E96" s="10">
        <v>15378</v>
      </c>
      <c r="F96" s="11">
        <v>3076</v>
      </c>
    </row>
    <row r="97" spans="1:6" x14ac:dyDescent="0.3">
      <c r="A97" s="12">
        <v>46118</v>
      </c>
      <c r="B97" s="13" t="s">
        <v>19</v>
      </c>
      <c r="C97" s="13" t="s">
        <v>17</v>
      </c>
      <c r="D97" s="13" t="s">
        <v>8</v>
      </c>
      <c r="E97" s="14">
        <v>15515</v>
      </c>
      <c r="F97" s="15">
        <v>3413</v>
      </c>
    </row>
    <row r="98" spans="1:6" x14ac:dyDescent="0.3">
      <c r="A98" s="8">
        <v>46119</v>
      </c>
      <c r="B98" s="9" t="s">
        <v>20</v>
      </c>
      <c r="C98" s="9" t="s">
        <v>21</v>
      </c>
      <c r="D98" s="9" t="s">
        <v>10</v>
      </c>
      <c r="E98" s="10">
        <v>15652</v>
      </c>
      <c r="F98" s="11">
        <v>3756</v>
      </c>
    </row>
    <row r="99" spans="1:6" x14ac:dyDescent="0.3">
      <c r="A99" s="12">
        <v>46120</v>
      </c>
      <c r="B99" s="13" t="s">
        <v>22</v>
      </c>
      <c r="C99" s="13" t="s">
        <v>21</v>
      </c>
      <c r="D99" s="13" t="s">
        <v>13</v>
      </c>
      <c r="E99" s="14">
        <v>15789</v>
      </c>
      <c r="F99" s="15">
        <v>4105</v>
      </c>
    </row>
    <row r="100" spans="1:6" x14ac:dyDescent="0.3">
      <c r="A100" s="8">
        <v>46121</v>
      </c>
      <c r="B100" s="9" t="s">
        <v>23</v>
      </c>
      <c r="C100" s="9" t="s">
        <v>7</v>
      </c>
      <c r="D100" s="9" t="s">
        <v>15</v>
      </c>
      <c r="E100" s="10">
        <v>15926</v>
      </c>
      <c r="F100" s="11">
        <v>4459</v>
      </c>
    </row>
    <row r="101" spans="1:6" x14ac:dyDescent="0.3">
      <c r="A101" s="16">
        <v>46122</v>
      </c>
      <c r="B101" s="2" t="s">
        <v>24</v>
      </c>
      <c r="C101" s="2" t="s">
        <v>7</v>
      </c>
      <c r="D101" s="2" t="s">
        <v>18</v>
      </c>
      <c r="E101" s="17">
        <v>16063</v>
      </c>
      <c r="F101" s="18">
        <v>1928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2FC67-C56B-4409-B6C2-F06C16A48DEA}">
  <sheetPr codeName="Sheet11"/>
  <dimension ref="A1:C41"/>
  <sheetViews>
    <sheetView topLeftCell="A27" workbookViewId="0">
      <selection activeCell="M9" sqref="M9"/>
    </sheetView>
  </sheetViews>
  <sheetFormatPr defaultRowHeight="14.4" x14ac:dyDescent="0.3"/>
  <cols>
    <col min="1" max="1" width="12.5546875" bestFit="1" customWidth="1"/>
    <col min="2" max="2" width="13.5546875" bestFit="1" customWidth="1"/>
    <col min="3" max="7" width="12.5546875" bestFit="1" customWidth="1"/>
    <col min="8" max="8" width="13.5546875" bestFit="1" customWidth="1"/>
    <col min="9" max="10" width="12.5546875" bestFit="1" customWidth="1"/>
    <col min="11" max="11" width="13.5546875" bestFit="1" customWidth="1"/>
    <col min="12" max="12" width="13.5546875" customWidth="1"/>
    <col min="13" max="13" width="12.5546875" bestFit="1" customWidth="1"/>
    <col min="20" max="20" width="12.5546875" bestFit="1" customWidth="1"/>
    <col min="21" max="21" width="13.5546875" bestFit="1" customWidth="1"/>
    <col min="22" max="22" width="12.5546875" bestFit="1" customWidth="1"/>
  </cols>
  <sheetData>
    <row r="1" spans="1:3" x14ac:dyDescent="0.3">
      <c r="A1" s="20" t="s">
        <v>25</v>
      </c>
      <c r="B1" s="20"/>
      <c r="C1" s="20"/>
    </row>
    <row r="2" spans="1:3" x14ac:dyDescent="0.3">
      <c r="A2" s="20"/>
      <c r="B2" s="20"/>
      <c r="C2" s="20"/>
    </row>
    <row r="3" spans="1:3" x14ac:dyDescent="0.3">
      <c r="A3" s="20"/>
      <c r="B3" s="20"/>
      <c r="C3" s="20"/>
    </row>
    <row r="4" spans="1:3" x14ac:dyDescent="0.3">
      <c r="A4" s="20"/>
      <c r="B4" s="20"/>
      <c r="C4" s="20"/>
    </row>
    <row r="14" spans="1:3" x14ac:dyDescent="0.3">
      <c r="A14" s="3" t="s">
        <v>26</v>
      </c>
      <c r="B14" t="s">
        <v>29</v>
      </c>
    </row>
    <row r="15" spans="1:3" x14ac:dyDescent="0.3">
      <c r="A15" s="4" t="s">
        <v>21</v>
      </c>
      <c r="B15" s="1">
        <v>39138</v>
      </c>
    </row>
    <row r="16" spans="1:3" x14ac:dyDescent="0.3">
      <c r="A16" s="4" t="s">
        <v>7</v>
      </c>
      <c r="B16" s="1">
        <v>41611</v>
      </c>
    </row>
    <row r="17" spans="1:2" x14ac:dyDescent="0.3">
      <c r="A17" s="4" t="s">
        <v>12</v>
      </c>
      <c r="B17" s="1">
        <v>17192</v>
      </c>
    </row>
    <row r="18" spans="1:2" x14ac:dyDescent="0.3">
      <c r="A18" s="4" t="s">
        <v>17</v>
      </c>
      <c r="B18" s="1">
        <v>35795</v>
      </c>
    </row>
    <row r="19" spans="1:2" x14ac:dyDescent="0.3">
      <c r="A19" s="4" t="s">
        <v>27</v>
      </c>
      <c r="B19" s="1">
        <v>133736</v>
      </c>
    </row>
    <row r="20" spans="1:2" x14ac:dyDescent="0.3">
      <c r="A20" s="3" t="s">
        <v>26</v>
      </c>
      <c r="B20" t="s">
        <v>28</v>
      </c>
    </row>
    <row r="21" spans="1:2" x14ac:dyDescent="0.3">
      <c r="A21" s="4" t="s">
        <v>20</v>
      </c>
      <c r="B21" s="1">
        <v>94870</v>
      </c>
    </row>
    <row r="22" spans="1:2" x14ac:dyDescent="0.3">
      <c r="A22" s="4" t="s">
        <v>16</v>
      </c>
      <c r="B22" s="1">
        <v>92130</v>
      </c>
    </row>
    <row r="23" spans="1:2" x14ac:dyDescent="0.3">
      <c r="A23" s="4" t="s">
        <v>11</v>
      </c>
      <c r="B23" s="1">
        <v>89390</v>
      </c>
    </row>
    <row r="24" spans="1:2" x14ac:dyDescent="0.3">
      <c r="A24" s="4" t="s">
        <v>19</v>
      </c>
      <c r="B24" s="1">
        <v>93500</v>
      </c>
    </row>
    <row r="25" spans="1:2" x14ac:dyDescent="0.3">
      <c r="A25" s="4" t="s">
        <v>24</v>
      </c>
      <c r="B25" s="1">
        <v>98980</v>
      </c>
    </row>
    <row r="26" spans="1:2" x14ac:dyDescent="0.3">
      <c r="A26" s="4" t="s">
        <v>23</v>
      </c>
      <c r="B26" s="1">
        <v>97610</v>
      </c>
    </row>
    <row r="27" spans="1:2" x14ac:dyDescent="0.3">
      <c r="A27" s="4" t="s">
        <v>22</v>
      </c>
      <c r="B27" s="1">
        <v>96240</v>
      </c>
    </row>
    <row r="28" spans="1:2" x14ac:dyDescent="0.3">
      <c r="A28" s="4" t="s">
        <v>27</v>
      </c>
      <c r="B28" s="1">
        <v>662720</v>
      </c>
    </row>
    <row r="29" spans="1:2" x14ac:dyDescent="0.3">
      <c r="A29" s="3" t="s">
        <v>26</v>
      </c>
      <c r="B29" t="s">
        <v>28</v>
      </c>
    </row>
    <row r="30" spans="1:2" x14ac:dyDescent="0.3">
      <c r="A30" s="4" t="s">
        <v>32</v>
      </c>
      <c r="B30" s="1">
        <v>95347</v>
      </c>
    </row>
    <row r="31" spans="1:2" x14ac:dyDescent="0.3">
      <c r="A31" s="4" t="s">
        <v>30</v>
      </c>
      <c r="B31" s="1">
        <v>173848</v>
      </c>
    </row>
    <row r="32" spans="1:2" x14ac:dyDescent="0.3">
      <c r="A32" s="4" t="s">
        <v>31</v>
      </c>
      <c r="B32" s="1">
        <v>281324</v>
      </c>
    </row>
    <row r="33" spans="1:3" x14ac:dyDescent="0.3">
      <c r="A33" s="4" t="s">
        <v>33</v>
      </c>
      <c r="B33" s="1">
        <v>109427</v>
      </c>
    </row>
    <row r="34" spans="1:3" x14ac:dyDescent="0.3">
      <c r="A34" s="4" t="s">
        <v>27</v>
      </c>
      <c r="B34" s="1">
        <v>659946</v>
      </c>
    </row>
    <row r="35" spans="1:3" x14ac:dyDescent="0.3">
      <c r="A35" s="3" t="s">
        <v>26</v>
      </c>
      <c r="B35" t="s">
        <v>29</v>
      </c>
      <c r="C35" t="s">
        <v>28</v>
      </c>
    </row>
    <row r="36" spans="1:3" x14ac:dyDescent="0.3">
      <c r="A36" s="4" t="s">
        <v>18</v>
      </c>
      <c r="B36" s="1">
        <v>37761</v>
      </c>
      <c r="C36" s="1">
        <v>191110</v>
      </c>
    </row>
    <row r="37" spans="1:3" x14ac:dyDescent="0.3">
      <c r="A37" s="4" t="s">
        <v>13</v>
      </c>
      <c r="B37" s="1">
        <v>37306</v>
      </c>
      <c r="C37" s="1">
        <v>185630</v>
      </c>
    </row>
    <row r="38" spans="1:3" x14ac:dyDescent="0.3">
      <c r="A38" s="4" t="s">
        <v>8</v>
      </c>
      <c r="B38" s="1">
        <v>18190</v>
      </c>
      <c r="C38" s="1">
        <v>93500</v>
      </c>
    </row>
    <row r="39" spans="1:3" x14ac:dyDescent="0.3">
      <c r="A39" s="4" t="s">
        <v>10</v>
      </c>
      <c r="B39" s="1">
        <v>19024</v>
      </c>
      <c r="C39" s="1">
        <v>94870</v>
      </c>
    </row>
    <row r="40" spans="1:3" x14ac:dyDescent="0.3">
      <c r="A40" s="4" t="s">
        <v>15</v>
      </c>
      <c r="B40" s="1">
        <v>21455</v>
      </c>
      <c r="C40" s="1">
        <v>97610</v>
      </c>
    </row>
    <row r="41" spans="1:3" x14ac:dyDescent="0.3">
      <c r="A41" s="4" t="s">
        <v>27</v>
      </c>
      <c r="B41" s="1">
        <v>133736</v>
      </c>
      <c r="C41" s="1">
        <v>662720</v>
      </c>
    </row>
  </sheetData>
  <mergeCells count="1">
    <mergeCell ref="A1:C4"/>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4170-58C9-4B88-94CE-32E198F96367}">
  <sheetPr codeName="Sheet1"/>
  <dimension ref="A1:E4"/>
  <sheetViews>
    <sheetView showGridLines="0" tabSelected="1" topLeftCell="A32" zoomScaleNormal="100" workbookViewId="0">
      <selection activeCell="AA26" sqref="AA26"/>
    </sheetView>
  </sheetViews>
  <sheetFormatPr defaultRowHeight="14.4" x14ac:dyDescent="0.3"/>
  <cols>
    <col min="5" max="5" width="8.88671875" customWidth="1"/>
    <col min="17" max="17" width="9" customWidth="1"/>
    <col min="23" max="23" width="11.109375" customWidth="1"/>
  </cols>
  <sheetData>
    <row r="1" spans="1:5" x14ac:dyDescent="0.3">
      <c r="A1" s="19"/>
      <c r="B1" s="19"/>
      <c r="C1" s="19"/>
      <c r="D1" s="19"/>
      <c r="E1" s="19"/>
    </row>
    <row r="2" spans="1:5" x14ac:dyDescent="0.3">
      <c r="A2" s="19"/>
      <c r="B2" s="19"/>
      <c r="C2" s="19"/>
      <c r="D2" s="19"/>
      <c r="E2" s="19"/>
    </row>
    <row r="3" spans="1:5" x14ac:dyDescent="0.3">
      <c r="A3" s="19"/>
      <c r="B3" s="19"/>
      <c r="C3" s="19"/>
      <c r="D3" s="19"/>
      <c r="E3" s="19"/>
    </row>
    <row r="4" spans="1:5" x14ac:dyDescent="0.3">
      <c r="A4" s="19"/>
      <c r="B4" s="19"/>
      <c r="C4" s="19"/>
      <c r="D4" s="19"/>
      <c r="E4" s="19"/>
    </row>
  </sheetData>
  <mergeCells count="1">
    <mergeCell ref="A1:E4"/>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65D8C013-A03D-4620-B394-6D5F587A4FEC}">
  <ds:schemaRefs/>
</ds:datastoreItem>
</file>

<file path=customXml/itemProps2.xml><?xml version="1.0" encoding="utf-8"?>
<ds:datastoreItem xmlns:ds="http://schemas.openxmlformats.org/officeDocument/2006/customXml" ds:itemID="{A81703F1-D1FD-4EDD-9726-5372DB3A74D0}">
  <ds:schemaRefs/>
</ds:datastoreItem>
</file>

<file path=customXml/itemProps3.xml><?xml version="1.0" encoding="utf-8"?>
<ds:datastoreItem xmlns:ds="http://schemas.openxmlformats.org/officeDocument/2006/customXml" ds:itemID="{2577D0EB-44D5-41D9-9C3B-7CCC27771982}">
  <ds:schemaRefs/>
</ds:datastoreItem>
</file>

<file path=customXml/itemProps4.xml><?xml version="1.0" encoding="utf-8"?>
<ds:datastoreItem xmlns:ds="http://schemas.openxmlformats.org/officeDocument/2006/customXml" ds:itemID="{42DA7F86-174E-4534-8A5E-C4846E7029C4}">
  <ds:schemaRefs/>
</ds:datastoreItem>
</file>

<file path=customXml/itemProps5.xml><?xml version="1.0" encoding="utf-8"?>
<ds:datastoreItem xmlns:ds="http://schemas.openxmlformats.org/officeDocument/2006/customXml" ds:itemID="{9D01B50D-1E4F-4059-A41E-B86F572A9F08}">
  <ds:schemaRefs/>
</ds:datastoreItem>
</file>

<file path=customXml/itemProps6.xml><?xml version="1.0" encoding="utf-8"?>
<ds:datastoreItem xmlns:ds="http://schemas.openxmlformats.org/officeDocument/2006/customXml" ds:itemID="{621CD097-85C4-4CB2-9C70-353FFB9DDF01}">
  <ds:schemaRefs/>
</ds:datastoreItem>
</file>

<file path=customXml/itemProps7.xml><?xml version="1.0" encoding="utf-8"?>
<ds:datastoreItem xmlns:ds="http://schemas.openxmlformats.org/officeDocument/2006/customXml" ds:itemID="{6AD95C59-4E72-4D7D-8DD9-19700671747A}">
  <ds:schemaRefs/>
</ds:datastoreItem>
</file>

<file path=customXml/itemProps8.xml><?xml version="1.0" encoding="utf-8"?>
<ds:datastoreItem xmlns:ds="http://schemas.openxmlformats.org/officeDocument/2006/customXml" ds:itemID="{F386A4EA-76F3-43FD-8C4E-42A28D98E5DD}">
  <ds:schemaRefs/>
</ds:datastoreItem>
</file>

<file path=customXml/itemProps9.xml><?xml version="1.0" encoding="utf-8"?>
<ds:datastoreItem xmlns:ds="http://schemas.openxmlformats.org/officeDocument/2006/customXml" ds:itemID="{A935427F-B7DA-4FBB-A0DE-36050FF22974}">
  <ds:schemaRefs/>
</ds:datastoreItem>
</file>

<file path=customXml/itemProps10.xml><?xml version="1.0" encoding="utf-8"?>
<ds:datastoreItem xmlns:ds="http://schemas.openxmlformats.org/officeDocument/2006/customXml" ds:itemID="{C7B5A417-2EFD-4DDF-B407-7A443F52335B}">
  <ds:schemaRefs/>
</ds:datastoreItem>
</file>

<file path=customXml/itemProps11.xml><?xml version="1.0" encoding="utf-8"?>
<ds:datastoreItem xmlns:ds="http://schemas.openxmlformats.org/officeDocument/2006/customXml" ds:itemID="{35DD881F-E9FE-43F4-A016-6EE59DE278C0}">
  <ds:schemaRefs/>
</ds:datastoreItem>
</file>

<file path=customXml/itemProps12.xml><?xml version="1.0" encoding="utf-8"?>
<ds:datastoreItem xmlns:ds="http://schemas.openxmlformats.org/officeDocument/2006/customXml" ds:itemID="{02095EEF-FA32-4945-996E-4D5FFFC0349F}">
  <ds:schemaRefs/>
</ds:datastoreItem>
</file>

<file path=customXml/itemProps13.xml><?xml version="1.0" encoding="utf-8"?>
<ds:datastoreItem xmlns:ds="http://schemas.openxmlformats.org/officeDocument/2006/customXml" ds:itemID="{AA7782F7-93EE-4886-BA5E-1BF0D5E968F8}">
  <ds:schemaRefs/>
</ds:datastoreItem>
</file>

<file path=customXml/itemProps14.xml><?xml version="1.0" encoding="utf-8"?>
<ds:datastoreItem xmlns:ds="http://schemas.openxmlformats.org/officeDocument/2006/customXml" ds:itemID="{8F0E9CF7-0FF7-4C6E-94F6-EA4D662FC261}">
  <ds:schemaRefs>
    <ds:schemaRef ds:uri="http://schemas.microsoft.com/DataMashup"/>
  </ds:schemaRefs>
</ds:datastoreItem>
</file>

<file path=customXml/itemProps15.xml><?xml version="1.0" encoding="utf-8"?>
<ds:datastoreItem xmlns:ds="http://schemas.openxmlformats.org/officeDocument/2006/customXml" ds:itemID="{1379F1BF-8EB8-47CD-873E-D8D1B38EB58F}">
  <ds:schemaRefs/>
</ds:datastoreItem>
</file>

<file path=customXml/itemProps16.xml><?xml version="1.0" encoding="utf-8"?>
<ds:datastoreItem xmlns:ds="http://schemas.openxmlformats.org/officeDocument/2006/customXml" ds:itemID="{6DC520EE-6260-4DF5-90E5-092F12685FD1}">
  <ds:schemaRefs/>
</ds:datastoreItem>
</file>

<file path=customXml/itemProps17.xml><?xml version="1.0" encoding="utf-8"?>
<ds:datastoreItem xmlns:ds="http://schemas.openxmlformats.org/officeDocument/2006/customXml" ds:itemID="{C9283173-521E-47D9-80AF-571AF0EF80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MOHINI MISHRA</dc:creator>
  <cp:lastModifiedBy>MOHINI MISHRA</cp:lastModifiedBy>
  <dcterms:created xsi:type="dcterms:W3CDTF">2026-06-15T06:25:02Z</dcterms:created>
  <dcterms:modified xsi:type="dcterms:W3CDTF">2026-06-16T02:26:34Z</dcterms:modified>
</cp:coreProperties>
</file>